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<sst xmlns="http://schemas.openxmlformats.org/spreadsheetml/2006/main" count="151" uniqueCount="106">
  <si>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</si>
  <si>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</si>
  <si>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</si>
  <si>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</si>
  <si>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</si>
  <si>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</si>
  <si>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</si>
  <si>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</si>
  <si>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</si>
  <si>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</si>
  <si>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</si>
  <si>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</si>
  <si>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</si>
  <si>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</si>
  <si>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</si>
  <si>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</si>
  <si>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</si>
  <si>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</si>
  <si>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</si>
  <si>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</si>
  <si>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</si>
  <si>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</si>
  <si>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</si>
  <si>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</si>
  <si>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</si>
  <si>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</si>
  <si>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</si>
  <si>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</si>
  <si>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</si>
  <si>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</si>
  <si>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</si>
  <si>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</si>
  <si>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</si>
  <si>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</si>
  <si>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</si>
  <si>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</si>
  <si>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</si>
  <si>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</si>
  <si>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</si>
  <si>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</si>
  <si>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</si>
  <si>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</si>
  <si>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</si>
  <si>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</si>
  <si>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</si>
  <si>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</si>
  <si>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</si>
  <si>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</si>
  <si>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</si>
  <si>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</si>
  <si>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</si>
  <si>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</si>
  <si>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</si>
  <si>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</si>
  <si>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</si>
  <si>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</si>
  <si>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</si>
  <si>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</si>
  <si>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</si>
  <si>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</si>
  <si>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</si>
  <si>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</si>
  <si>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</si>
  <si>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</si>
  <si>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</si>
  <si>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</si>
  <si>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</si>
  <si>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</si>
  <si>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</si>
  <si>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</si>
  <si>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</si>
  <si>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</si>
  <si>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</si>
  <si>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</si>
  <si>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</si>
  <si>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</si>
  <si>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</si>
  <si>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</si>
  <si>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</si>
  <si>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</si>
  <si>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</si>
  <si>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</si>
  <si>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</si>
  <si>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</si>
  <si>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</si>
  <si>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</si>
  <si>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</si>
  <si>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</si>
  <si>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</si>
  <si>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</si>
  <si>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</si>
  <si>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</si>
  <si>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</si>
  <si>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</si>
  <si>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</si>
  <si>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</si>
  <si>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</si>
  <si>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</si>
  <si>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</si>
  <si>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0-1</t>
  </si>
  <si>
    <t>Vict. LCL o empate</t>
  </si>
  <si>
    <t>Vict. VST o empate</t>
  </si>
  <si>
    <t>Hungría División 1</t>
  </si>
  <si>
    <t>Balmazujvaros</t>
  </si>
  <si>
    <t>Ferencvaros</t>
  </si>
  <si>
    <t>0-0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</si>
</sst>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C13" sqref="AC13"/>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4" t="s">
        <v>32</v>
      </c>
      <c r="G2" s="162"/>
      <c r="H2" s="162"/>
      <c r="I2" s="168" t="s">
        <v>31</v>
      </c>
      <c r="J2" s="162" t="s">
        <v>33</v>
      </c>
      <c r="K2" s="162"/>
      <c r="L2" s="163"/>
      <c r="N2" s="138" t="s">
        <v>36</v>
      </c>
      <c r="O2" s="139"/>
      <c r="P2" s="139"/>
      <c r="Q2" s="139"/>
      <c r="R2" s="139"/>
      <c r="S2" s="54">
        <v>30</v>
      </c>
    </row>
    <row r="3" spans="1:33" ht="15.75" thickBot="1">
      <c r="F3" s="167" t="str">
        <f>Cálculos!I4</f>
        <v>Balmazujvaros</v>
      </c>
      <c r="G3" s="165"/>
      <c r="H3" s="165"/>
      <c r="I3" s="169"/>
      <c r="J3" s="165" t="str">
        <f>Cálculos!M4</f>
        <v>Ferencvaros</v>
      </c>
      <c r="K3" s="165"/>
      <c r="L3" s="166"/>
    </row>
    <row r="4" spans="1:33" ht="15.75" thickBot="1">
      <c r="G4" s="159" t="str">
        <f>Cálculos!J5</f>
        <v>Hungría División 1</v>
      </c>
      <c r="H4" s="160"/>
      <c r="I4" s="160"/>
      <c r="J4" s="160"/>
      <c r="K4" s="161"/>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4" t="s">
        <v>81</v>
      </c>
      <c r="E8" s="155"/>
      <c r="F8" s="155"/>
      <c r="G8" s="155"/>
      <c r="H8" s="155"/>
      <c r="I8" s="155"/>
      <c r="J8" s="155"/>
      <c r="K8" s="155"/>
      <c r="L8" s="155"/>
      <c r="M8" s="155"/>
      <c r="N8" s="156"/>
      <c r="R8" s="140" t="s">
        <v>5</v>
      </c>
      <c r="S8" s="141"/>
      <c r="T8" s="141"/>
      <c r="U8" s="142"/>
      <c r="V8"/>
      <c r="W8" s="140" t="s">
        <v>6</v>
      </c>
      <c r="X8" s="141"/>
      <c r="Y8" s="141"/>
      <c r="Z8" s="142"/>
      <c r="AA8"/>
      <c r="AB8" s="106" t="s">
        <v>89</v>
      </c>
      <c r="AC8" s="108">
        <f>SUM(E12:N20,F11:N11,G10:N10,D13:D20)</f>
        <v>0.2955917917337551</v>
      </c>
    </row>
    <row r="9" spans="1:33" ht="15.75" customHeight="1" thickBot="1">
      <c r="C9" s="68" t="s">
        <v>79</v>
      </c>
      <c r="D9" s="95">
        <v>0</v>
      </c>
      <c r="E9" s="82">
        <v>1</v>
      </c>
      <c r="F9" s="82">
        <v>2</v>
      </c>
      <c r="G9" s="82">
        <v>3</v>
      </c>
      <c r="H9" s="82">
        <v>4</v>
      </c>
      <c r="I9" s="82">
        <v>5</v>
      </c>
      <c r="J9" s="82">
        <v>6</v>
      </c>
      <c r="K9" s="82">
        <v>7</v>
      </c>
      <c r="L9" s="82">
        <v>8</v>
      </c>
      <c r="M9" s="82">
        <v>9</v>
      </c>
      <c r="N9" s="83">
        <v>10</v>
      </c>
      <c r="R9" s="147" t="s">
        <v>2</v>
      </c>
      <c r="S9" s="148"/>
      <c r="T9" s="11" t="s">
        <v>4</v>
      </c>
      <c r="U9" s="86">
        <f>Cálculos!E35</f>
        <v>1.2666666666666666</v>
      </c>
      <c r="V9"/>
      <c r="W9" s="147" t="s">
        <v>2</v>
      </c>
      <c r="X9" s="148"/>
      <c r="Y9" s="11" t="s">
        <v>4</v>
      </c>
      <c r="Z9" s="86">
        <f>Cálculos!J35</f>
        <v>1.2666666666666666</v>
      </c>
      <c r="AA9"/>
      <c r="AB9" s="109" t="s">
        <v>90</v>
      </c>
      <c r="AC9" s="107">
        <f>SUM(D10:D12,E11,E10,F10)</f>
        <v>0.70440946505217861</v>
      </c>
    </row>
    <row r="10" spans="1:33" ht="15.75" customHeight="1" thickBot="1">
      <c r="B10" s="151" t="s">
        <v>80</v>
      </c>
      <c r="C10" s="94">
        <v>0</v>
      </c>
      <c r="D10" s="102">
        <f>Cálculos!L11*Cálculos!M11</f>
        <v>0.14995060407246383</v>
      </c>
      <c r="E10" s="96">
        <f>Cálculos!M12*Cálculos!L11</f>
        <v>0.15877218790932549</v>
      </c>
      <c r="F10" s="77">
        <f>Cálculos!M13*Cálculos!L11</f>
        <v>8.4056372461600998E-2</v>
      </c>
      <c r="G10" s="77">
        <f>Cálculos!M14*Cálculos!L11</f>
        <v>2.9667134378465465E-2</v>
      </c>
      <c r="H10" s="77">
        <f>Cálculos!M15*Cálculos!L11</f>
        <v>7.8531124689445436E-3</v>
      </c>
      <c r="I10" s="77">
        <f>Cálculos!M16*Cálculos!L11</f>
        <v>1.6630221082534423E-3</v>
      </c>
      <c r="J10" s="77">
        <f>Cálculos!M17*Cálculos!L11</f>
        <v>2.9347626429187282E-4</v>
      </c>
      <c r="K10" s="77">
        <f>Cálculos!M18*Cálculos!L11</f>
        <v>4.4391636136541706E-5</v>
      </c>
      <c r="L10" s="77">
        <f>Cálculos!M19*Cálculos!L11</f>
        <v>5.8753991338269073E-6</v>
      </c>
      <c r="M10" s="77">
        <f>Cálculos!M20*Cálculos!L11</f>
        <v>6.9122760724254749E-7</v>
      </c>
      <c r="N10" s="84">
        <f>Cálculos!M21*Cálculos!L11</f>
        <v>7.3189248035434029E-8</v>
      </c>
      <c r="R10" s="149" t="s">
        <v>3</v>
      </c>
      <c r="S10" s="150"/>
      <c r="T10" s="12" t="s">
        <v>4</v>
      </c>
      <c r="U10" s="87">
        <f>Cálculos!E36</f>
        <v>1.0666666666666667</v>
      </c>
      <c r="V10"/>
      <c r="W10" s="149" t="s">
        <v>3</v>
      </c>
      <c r="X10" s="150"/>
      <c r="Y10" s="12" t="s">
        <v>4</v>
      </c>
      <c r="Z10" s="87">
        <f>Cálculos!J36</f>
        <v>1</v>
      </c>
      <c r="AA10"/>
    </row>
    <row r="11" spans="1:33" ht="15.75" thickBot="1">
      <c r="B11" s="152"/>
      <c r="C11" s="66">
        <v>1</v>
      </c>
      <c r="D11" s="99">
        <f>Cálculos!L12*Cálculos!M11</f>
        <v>0.12575167900145931</v>
      </c>
      <c r="E11" s="103">
        <f>Cálculos!L12*Cálculos!M12</f>
        <v>0.13314964172257918</v>
      </c>
      <c r="F11" s="97">
        <f>Cálculos!L12*Cálculos!M13</f>
        <v>7.049141304365987E-2</v>
      </c>
      <c r="G11" s="80">
        <f>Cálculos!L12*Cálculos!M14</f>
        <v>2.4879472692561386E-2</v>
      </c>
      <c r="H11" s="80">
        <f>Cálculos!L12*Cálculos!M15</f>
        <v>6.5857825946459081E-3</v>
      </c>
      <c r="I11" s="80">
        <f>Cálculos!L12*Cálculos!M16</f>
        <v>1.3946447473353009E-3</v>
      </c>
      <c r="J11" s="80">
        <f>Cálculos!L12*Cálculos!M17</f>
        <v>2.4611526715787404E-4</v>
      </c>
      <c r="K11" s="80">
        <f>Cálculos!L12*Cálculos!M18</f>
        <v>3.7227744511748077E-5</v>
      </c>
      <c r="L11" s="80">
        <f>Cálculos!L12*Cálculos!M19</f>
        <v>4.9272312736093244E-6</v>
      </c>
      <c r="M11" s="80">
        <f>Cálculos!L12*Cálculos!M20</f>
        <v>5.7967777269443983E-7</v>
      </c>
      <c r="N11" s="81">
        <f>Cálculos!L12*Cálculos!M21</f>
        <v>6.1378017662819167E-8</v>
      </c>
      <c r="S11"/>
      <c r="T11"/>
      <c r="U11"/>
      <c r="V11"/>
      <c r="W11"/>
      <c r="X11"/>
      <c r="Y11"/>
      <c r="Z11"/>
      <c r="AA11"/>
      <c r="AB11" s="119" t="s">
        <v>91</v>
      </c>
      <c r="AC11" s="120"/>
    </row>
    <row r="12" spans="1:33" ht="15.75" customHeight="1" thickBot="1">
      <c r="B12" s="152"/>
      <c r="C12" s="66">
        <v>2</v>
      </c>
      <c r="D12" s="76">
        <f>Cálculos!L13*Cálculos!M11</f>
        <v>5.2728979884749838E-2</v>
      </c>
      <c r="E12" s="100">
        <f>Cálculos!L13*Cálculos!M12</f>
        <v>5.5831022184364233E-2</v>
      </c>
      <c r="F12" s="103">
        <f>Cálculos!L13*Cálculos!M13</f>
        <v>2.9557778710720829E-2</v>
      </c>
      <c r="G12" s="97">
        <f>Cálculos!L13*Cálculos!M14</f>
        <v>1.0432220273846429E-2</v>
      </c>
      <c r="H12" s="80">
        <f>Cálculos!L13*Cálculos!M15</f>
        <v>2.761486770720491E-3</v>
      </c>
      <c r="I12" s="80">
        <f>Cálculos!L13*Cálculos!M16</f>
        <v>5.8478896991714685E-4</v>
      </c>
      <c r="J12" s="80">
        <f>Cálculos!L13*Cálculos!M17</f>
        <v>1.0319867753930168E-4</v>
      </c>
      <c r="K12" s="80">
        <f>Cálculos!L13*Cálculos!M18</f>
        <v>1.5609978388374369E-5</v>
      </c>
      <c r="L12" s="80">
        <f>Cálculos!L13*Cálculos!M19</f>
        <v>2.0660390443823926E-6</v>
      </c>
      <c r="M12" s="80">
        <f>Cálculos!L13*Cálculos!M20</f>
        <v>2.4306488675739272E-7</v>
      </c>
      <c r="N12" s="81">
        <f>Cálculos!L13*Cálculos!M21</f>
        <v>2.5736437751030382E-8</v>
      </c>
      <c r="R12" s="145" t="s">
        <v>28</v>
      </c>
      <c r="S12" s="143" t="s">
        <v>7</v>
      </c>
      <c r="T12" s="143"/>
      <c r="U12" s="143"/>
      <c r="V12" s="143"/>
      <c r="W12" s="143"/>
      <c r="X12" s="143"/>
      <c r="Y12" s="144"/>
      <c r="Z12"/>
      <c r="AA12"/>
      <c r="AB12" s="115" t="s">
        <v>97</v>
      </c>
      <c r="AC12" s="116" t="s">
        <v>98</v>
      </c>
    </row>
    <row r="13" spans="1:33" ht="15.75" customHeight="1" thickBot="1">
      <c r="B13" s="152"/>
      <c r="C13" s="66">
        <v>3</v>
      </c>
      <c r="D13" s="76">
        <f>Cálculos!L14*Cálculos!M11</f>
        <v>1.4739871158587542E-2</v>
      </c>
      <c r="E13" s="78">
        <f>Cálculos!L14*Cálculos!M12</f>
        <v>1.5607016776134922E-2</v>
      </c>
      <c r="F13" s="100">
        <f>Cálculos!L14*Cálculos!M13</f>
        <v>8.2625882556865583E-3</v>
      </c>
      <c r="G13" s="103">
        <f>Cálculos!L14*Cálculos!M14</f>
        <v>2.9162252535625882E-3</v>
      </c>
      <c r="H13" s="97">
        <f>Cálculos!L14*Cálculos!M15</f>
        <v>7.7194664671175113E-4</v>
      </c>
      <c r="I13" s="80">
        <f>Cálculos!L14*Cálculos!M16</f>
        <v>1.6347204308488517E-4</v>
      </c>
      <c r="J13" s="80">
        <f>Cálculos!L14*Cálculos!M17</f>
        <v>2.8848182043170308E-5</v>
      </c>
      <c r="K13" s="80">
        <f>Cálculos!L14*Cálculos!M18</f>
        <v>4.3636169471869493E-6</v>
      </c>
      <c r="L13" s="80">
        <f>Cálculos!L14*Cálculos!M19</f>
        <v>5.775410294181584E-7</v>
      </c>
      <c r="M13" s="80">
        <f>Cálculos!L14*Cálculos!M20</f>
        <v>6.7946414321147021E-8</v>
      </c>
      <c r="N13" s="81">
        <f>Cálculos!L14*Cálculos!M21</f>
        <v>7.194369725345504E-9</v>
      </c>
      <c r="O13" s="32"/>
      <c r="R13" s="146"/>
      <c r="S13" s="104">
        <v>0</v>
      </c>
      <c r="T13" s="104">
        <v>1</v>
      </c>
      <c r="U13" s="104">
        <v>2</v>
      </c>
      <c r="V13" s="104">
        <v>3</v>
      </c>
      <c r="W13" s="104">
        <v>4</v>
      </c>
      <c r="X13" s="104">
        <v>5</v>
      </c>
      <c r="Y13" s="105">
        <v>6</v>
      </c>
      <c r="Z13"/>
      <c r="AA13" s="33"/>
      <c r="AB13" s="117">
        <f>SUM(E11:N20)</f>
        <v>0.37078305316877574</v>
      </c>
      <c r="AC13" s="107">
        <f>SUM(D10:D20,E10:N10)</f>
        <v>0.62921820361715808</v>
      </c>
    </row>
    <row r="14" spans="1:33" ht="15.75" customHeight="1" thickBot="1">
      <c r="B14" s="152"/>
      <c r="C14" s="66">
        <v>4</v>
      </c>
      <c r="D14" s="76">
        <f>Cálculos!L15*Cálculos!M11</f>
        <v>3.0902902291107667E-3</v>
      </c>
      <c r="E14" s="78">
        <f>Cálculos!L15*Cálculos!M12</f>
        <v>3.2720917930655277E-3</v>
      </c>
      <c r="F14" s="78">
        <f>Cálculos!L15*Cálculos!M13</f>
        <v>1.7322943653301471E-3</v>
      </c>
      <c r="G14" s="100">
        <f>Cálculos!L15*Cálculos!M14</f>
        <v>6.1140170833312178E-4</v>
      </c>
      <c r="H14" s="103">
        <f>Cálculos!L15*Cálculos!M15</f>
        <v>1.6184260731060159E-4</v>
      </c>
      <c r="I14" s="97">
        <f>Cálculos!L15*Cálculos!M16</f>
        <v>3.4272759377796613E-5</v>
      </c>
      <c r="J14" s="80">
        <f>Cálculos!L15*Cálculos!M17</f>
        <v>6.0481705800853601E-6</v>
      </c>
      <c r="K14" s="80">
        <f>Cálculos!L15*Cálculos!M18</f>
        <v>9.1485486341022925E-7</v>
      </c>
      <c r="L14" s="80">
        <f>Cálculos!L15*Cálculos!M19</f>
        <v>1.2108446409870355E-7</v>
      </c>
      <c r="M14" s="80">
        <f>Cálculos!L15*Cálculos!M20</f>
        <v>1.4245317209399097E-8</v>
      </c>
      <c r="N14" s="81">
        <f>Cálculos!L15*Cálculos!M21</f>
        <v>1.5083368251758849E-9</v>
      </c>
      <c r="O14" s="33"/>
      <c r="R14" s="24" t="s">
        <v>8</v>
      </c>
      <c r="S14" s="46">
        <f>Cálculos!L11</f>
        <v>0.43230664093720378</v>
      </c>
      <c r="T14" s="47">
        <f>Cálculos!L12</f>
        <v>0.36254129336526886</v>
      </c>
      <c r="U14" s="47">
        <f>Cálculos!L13</f>
        <v>0.15201731473522997</v>
      </c>
      <c r="V14" s="47">
        <f>Cálculos!L14</f>
        <v>4.2494955107595322E-2</v>
      </c>
      <c r="W14" s="47">
        <f>Cálculos!L15</f>
        <v>8.9092871397992938E-3</v>
      </c>
      <c r="X14" s="47">
        <f>Cálculos!L16</f>
        <v>1.4943025051028886E-3</v>
      </c>
      <c r="Y14" s="48">
        <f>Cálculos!L17</f>
        <v>2.0885883289713939E-4</v>
      </c>
      <c r="Z14"/>
      <c r="AA14"/>
    </row>
    <row r="15" spans="1:33" ht="15.75" thickBot="1">
      <c r="B15" s="152"/>
      <c r="C15" s="66">
        <v>5</v>
      </c>
      <c r="D15" s="76">
        <f>Cálculos!L16*Cálculos!M11</f>
        <v>5.1831626463430243E-4</v>
      </c>
      <c r="E15" s="78">
        <f>Cálculos!L16*Cálculos!M12</f>
        <v>5.4880877522312855E-4</v>
      </c>
      <c r="F15" s="78">
        <f>Cálculos!L16*Cálculos!M13</f>
        <v>2.9054757906778748E-4</v>
      </c>
      <c r="G15" s="78">
        <f>Cálculos!L16*Cálculos!M14</f>
        <v>1.0254682445973466E-4</v>
      </c>
      <c r="H15" s="100">
        <f>Cálculos!L16*Cálculos!M15</f>
        <v>2.7144911791681592E-5</v>
      </c>
      <c r="I15" s="103">
        <f>Cálculos!L16*Cálculos!M16</f>
        <v>5.7483690211587154E-6</v>
      </c>
      <c r="J15" s="97">
        <f>Cálculos!L16*Cálculos!M17</f>
        <v>1.014424196604662E-6</v>
      </c>
      <c r="K15" s="80">
        <f>Cálculos!L16*Cálculos!M18</f>
        <v>1.5344324329749503E-7</v>
      </c>
      <c r="L15" s="80">
        <f>Cálculos!L16*Cálculos!M19</f>
        <v>2.030878735779635E-8</v>
      </c>
      <c r="M15" s="80">
        <f>Cálculos!L16*Cálculos!M20</f>
        <v>2.3892835485005938E-9</v>
      </c>
      <c r="N15" s="81">
        <f>Cálculos!L16*Cálculos!M21</f>
        <v>2.5298449371225877E-10</v>
      </c>
      <c r="O15" s="33"/>
      <c r="R15" s="25" t="s">
        <v>9</v>
      </c>
      <c r="S15" s="49">
        <f>Cálculos!M11</f>
        <v>0.34686167149175351</v>
      </c>
      <c r="T15" s="50">
        <f>Cálculos!M12</f>
        <v>0.36726752002958124</v>
      </c>
      <c r="U15" s="50">
        <f>Cálculos!M13</f>
        <v>0.19443692162436824</v>
      </c>
      <c r="V15" s="50">
        <f>Cálculos!M14</f>
        <v>6.8625210832176112E-2</v>
      </c>
      <c r="W15" s="50">
        <f>Cálculos!M15</f>
        <v>1.8165606829262833E-2</v>
      </c>
      <c r="X15" s="50">
        <f>Cálculos!M16</f>
        <v>3.8468576486545589E-3</v>
      </c>
      <c r="Y15" s="51">
        <f>Cálculos!M17</f>
        <v>6.7886133707231841E-4</v>
      </c>
      <c r="Z15"/>
      <c r="AA15" s="33"/>
      <c r="AB15" s="125" t="s">
        <v>86</v>
      </c>
      <c r="AC15" s="126"/>
    </row>
    <row r="16" spans="1:33" ht="15.75" thickBot="1">
      <c r="B16" s="152"/>
      <c r="C16" s="66">
        <v>6</v>
      </c>
      <c r="D16" s="76">
        <f>Cálculos!L17*Cálculos!M11</f>
        <v>7.2445123884518599E-5</v>
      </c>
      <c r="E16" s="78">
        <f>Cálculos!L17*Cálculos!M12</f>
        <v>7.6707065594405107E-5</v>
      </c>
      <c r="F16" s="78">
        <f>Cálculos!L17*Cálculos!M13</f>
        <v>4.0609868522578113E-5</v>
      </c>
      <c r="G16" s="78">
        <f>Cálculos!L17*Cálculos!M14</f>
        <v>1.433298144172843E-5</v>
      </c>
      <c r="H16" s="78">
        <f>Cálculos!L17*Cálculos!M15</f>
        <v>3.7940474412281399E-6</v>
      </c>
      <c r="I16" s="100">
        <f>Cálculos!L17*Cálculos!M16</f>
        <v>8.0345019881942506E-7</v>
      </c>
      <c r="J16" s="103">
        <f>Cálculos!L17*Cálculos!M17</f>
        <v>1.4178618655991597E-7</v>
      </c>
      <c r="K16" s="97">
        <f>Cálculos!L17*Cálculos!M18</f>
        <v>2.1446779752845285E-8</v>
      </c>
      <c r="L16" s="80">
        <f>Cálculos!L17*Cálculos!M19</f>
        <v>2.8385615433425703E-9</v>
      </c>
      <c r="M16" s="80">
        <f>Cálculos!L17*Cálculos!M20</f>
        <v>3.339504362042209E-10</v>
      </c>
      <c r="N16" s="81">
        <f>Cálculos!L17*Cálculos!M21</f>
        <v>3.5359671764839847E-11</v>
      </c>
      <c r="O16" s="33"/>
      <c r="S16"/>
      <c r="T16"/>
      <c r="U16"/>
      <c r="V16"/>
      <c r="W16"/>
      <c r="X16"/>
      <c r="Y16"/>
      <c r="Z16"/>
      <c r="AA16"/>
      <c r="AB16" s="123" t="s">
        <v>99</v>
      </c>
      <c r="AC16" s="124"/>
    </row>
    <row r="17" spans="1:33" ht="15.75" customHeight="1" thickBot="1">
      <c r="B17" s="152"/>
      <c r="C17" s="66">
        <v>7</v>
      </c>
      <c r="D17" s="76">
        <f>Cálculos!L18*Cálculos!M11</f>
        <v>8.6791399648842001E-6</v>
      </c>
      <c r="E17" s="78">
        <f>Cálculos!L18*Cálculos!M12</f>
        <v>9.1897331786006524E-6</v>
      </c>
      <c r="F17" s="78">
        <f>Cálculos!L18*Cálculos!M13</f>
        <v>4.8651822781729056E-6</v>
      </c>
      <c r="G17" s="78">
        <f>Cálculos!L18*Cálculos!M14</f>
        <v>1.7171335402110122E-6</v>
      </c>
      <c r="H17" s="78">
        <f>Cálculos!L18*Cálculos!M15</f>
        <v>4.5453809739245511E-7</v>
      </c>
      <c r="I17" s="78">
        <f>Cálculos!L18*Cálculos!M16</f>
        <v>9.6255708548218819E-8</v>
      </c>
      <c r="J17" s="100">
        <f>Cálculos!L18*Cálculos!M17</f>
        <v>1.6986404222350527E-8</v>
      </c>
      <c r="K17" s="103">
        <f>Cálculos!L18*Cálculos!M18</f>
        <v>2.569387603887672E-9</v>
      </c>
      <c r="L17" s="97">
        <f>Cálculos!L18*Cálculos!M19</f>
        <v>3.4006806272951387E-10</v>
      </c>
      <c r="M17" s="80">
        <f>Cálculos!L18*Cálculos!M20</f>
        <v>4.0008249302889924E-11</v>
      </c>
      <c r="N17" s="81">
        <f>Cálculos!L18*Cálculos!M21</f>
        <v>4.2361931887729322E-12</v>
      </c>
      <c r="R17" s="136"/>
      <c r="S17" s="137"/>
      <c r="T17" s="88" t="s">
        <v>88</v>
      </c>
      <c r="U17" s="89" t="s">
        <v>87</v>
      </c>
      <c r="V17"/>
      <c r="Y17"/>
      <c r="AB17" s="121" t="s">
        <v>105</v>
      </c>
      <c r="AC17" s="122"/>
    </row>
    <row r="18" spans="1:33" ht="15.75" thickBot="1">
      <c r="B18" s="152"/>
      <c r="C18" s="66">
        <v>8</v>
      </c>
      <c r="D18" s="76">
        <f>Cálculos!L19*Cálculos!M11</f>
        <v>9.0981329287061953E-7</v>
      </c>
      <c r="E18" s="78">
        <f>Cálculos!L19*Cálculos!M12</f>
        <v>9.6333754699813726E-7</v>
      </c>
      <c r="F18" s="78">
        <f>Cálculos!L19*Cálculos!M13</f>
        <v>5.1000531467743556E-7</v>
      </c>
      <c r="G18" s="78">
        <f>Cálculos!L19*Cálculos!M14</f>
        <v>1.8000296421522332E-7</v>
      </c>
      <c r="H18" s="78">
        <f>Cálculos!L19*Cálculos!M15</f>
        <v>4.7648131588726322E-8</v>
      </c>
      <c r="I18" s="78">
        <f>Cálculos!L19*Cálculos!M16</f>
        <v>1.0090253585744316E-8</v>
      </c>
      <c r="J18" s="78">
        <f>Cálculos!L19*Cálculos!M17</f>
        <v>1.7806437529636412E-9</v>
      </c>
      <c r="K18" s="100">
        <f>Cálculos!L19*Cálculos!M18</f>
        <v>2.6934270054546627E-10</v>
      </c>
      <c r="L18" s="103">
        <f>Cálculos!L19*Cálculos!M19</f>
        <v>3.564851416199042E-11</v>
      </c>
      <c r="M18" s="97">
        <f>Cálculos!L19*Cálculos!M20</f>
        <v>4.1939682027857015E-12</v>
      </c>
      <c r="N18" s="81">
        <f>Cálculos!L19*Cálculos!M21</f>
        <v>4.4406990668516253E-13</v>
      </c>
      <c r="R18" s="134" t="s">
        <v>27</v>
      </c>
      <c r="S18" s="135"/>
      <c r="T18" s="90">
        <f>Cálculos!C39</f>
        <v>0.83862068965517234</v>
      </c>
      <c r="U18" s="91">
        <f>Cálculos!D39</f>
        <v>0.99265306122448971</v>
      </c>
      <c r="V18"/>
      <c r="Y18"/>
    </row>
    <row r="19" spans="1:33" ht="15.75" thickBot="1">
      <c r="B19" s="152"/>
      <c r="C19" s="66">
        <v>9</v>
      </c>
      <c r="D19" s="76">
        <f>Cálculos!L20*Cálculos!M11</f>
        <v>8.4776472347178049E-8</v>
      </c>
      <c r="E19" s="78">
        <f>Cálculos!L20*Cálculos!M12</f>
        <v>8.9763866448255552E-8</v>
      </c>
      <c r="F19" s="78">
        <f>Cálculos!L20*Cálculos!M13</f>
        <v>4.7522334302510479E-8</v>
      </c>
      <c r="G19" s="78">
        <f>Cálculos!L20*Cálculos!M14</f>
        <v>1.6772689998905105E-8</v>
      </c>
      <c r="H19" s="78">
        <f>Cálculos!L20*Cálculos!M15</f>
        <v>4.4398565526353422E-9</v>
      </c>
      <c r="I19" s="78">
        <f>Cálculos!L20*Cálculos!M16</f>
        <v>9.40210602319164E-10</v>
      </c>
      <c r="J19" s="78">
        <f>Cálculos!L20*Cálculos!M17</f>
        <v>1.6592052134894929E-10</v>
      </c>
      <c r="K19" s="78">
        <f>Cálculos!L20*Cálculos!M18</f>
        <v>2.5097373476113947E-11</v>
      </c>
      <c r="L19" s="100">
        <f>Cálculos!L20*Cálculos!M19</f>
        <v>3.3217312813011765E-12</v>
      </c>
      <c r="M19" s="103">
        <f>Cálculos!L20*Cálculos!M20</f>
        <v>3.907942785124455E-13</v>
      </c>
      <c r="N19" s="98">
        <f>Cálculos!L20*Cálculos!M21</f>
        <v>4.1378467933268793E-14</v>
      </c>
      <c r="R19" s="134" t="s">
        <v>77</v>
      </c>
      <c r="S19" s="135"/>
      <c r="T19" s="90">
        <f>Cálculos!C40</f>
        <v>0.8359183673469387</v>
      </c>
      <c r="U19" s="91">
        <f>Cálculos!D40</f>
        <v>0.66206896551724137</v>
      </c>
      <c r="V19"/>
      <c r="Y19"/>
      <c r="Z19"/>
      <c r="AA19" s="133" t="s">
        <v>100</v>
      </c>
      <c r="AB19" s="131"/>
      <c r="AC19" s="131" t="s">
        <v>101</v>
      </c>
      <c r="AD19" s="132"/>
    </row>
    <row r="20" spans="1:33" ht="15.75" thickBot="1">
      <c r="B20" s="153"/>
      <c r="C20" s="67">
        <v>10</v>
      </c>
      <c r="D20" s="85">
        <f>Cálculos!L21*Cálculos!M11</f>
        <v>7.1095303706323111E-9</v>
      </c>
      <c r="E20" s="79">
        <f>Cálculos!L21*Cálculos!M12</f>
        <v>7.527783558695087E-9</v>
      </c>
      <c r="F20" s="79">
        <f>Cálculos!L21*Cálculos!M13</f>
        <v>3.9853212766794993E-9</v>
      </c>
      <c r="G20" s="79">
        <f>Cálculos!L21*Cálculos!M14</f>
        <v>1.4065924854254211E-9</v>
      </c>
      <c r="H20" s="79">
        <f>Cálculos!L21*Cálculos!M15</f>
        <v>3.7233555641410871E-10</v>
      </c>
      <c r="I20" s="79">
        <f>Cálculos!L21*Cálculos!M16</f>
        <v>7.8848006373800247E-11</v>
      </c>
      <c r="J20" s="79">
        <f>Cálculos!L21*Cálculos!M17</f>
        <v>1.3914438204160159E-11</v>
      </c>
      <c r="K20" s="79">
        <f>Cálculos!L21*Cálculos!M18</f>
        <v>2.1047176653072113E-12</v>
      </c>
      <c r="L20" s="79">
        <f>Cálculos!L21*Cálculos!M19</f>
        <v>2.7856725779739525E-13</v>
      </c>
      <c r="M20" s="101">
        <f>Cálculos!L21*Cálculos!M20</f>
        <v>3.277281673594026E-14</v>
      </c>
      <c r="N20" s="103">
        <f>Cálculos!L21*Cálculos!M21</f>
        <v>3.470083931507231E-15</v>
      </c>
      <c r="R20" s="157" t="s">
        <v>78</v>
      </c>
      <c r="S20" s="158"/>
      <c r="T20" s="92">
        <f>Cálculos!C41</f>
        <v>0.83862068965517245</v>
      </c>
      <c r="U20" s="93">
        <f>Cálculos!D41</f>
        <v>1.058829931972789</v>
      </c>
      <c r="V20"/>
      <c r="Y20"/>
      <c r="Z20"/>
      <c r="AA20" s="127">
        <f>SUM(D10:D20,E11:E20,F12:F20,G13:G20,H14:H20,I15:I20,J16:J20,K17:K20,L18:L20,M19:M20,N20)</f>
        <v>0.59909318419953084</v>
      </c>
      <c r="AB20" s="128"/>
      <c r="AC20" s="129">
        <f>SUM(D10:N10,E11:N11,F12:N12,G13:N13,H14:N14,I15:N15,J16:N16,K17:N17,L18:N18,M19:N19,N20)</f>
        <v>0.71665005771367807</v>
      </c>
      <c r="AD20" s="130"/>
    </row>
    <row r="21" spans="1:33" ht="15.75" thickBot="1">
      <c r="AB21" s="194">
        <f>SUM(D10,E11,F12,G13,H14,I15,J16,K17,L18,M19,N20)</f>
        <v>0.31574198512727525</v>
      </c>
      <c r="AC21" s="195"/>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27" sqref="H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5" t="s">
        <v>34</v>
      </c>
      <c r="C2" s="185"/>
    </row>
    <row r="3" spans="1:26">
      <c r="I3" s="186" t="s">
        <v>32</v>
      </c>
      <c r="J3" s="187"/>
      <c r="K3" s="187"/>
      <c r="L3" s="188" t="s">
        <v>31</v>
      </c>
      <c r="M3" s="187" t="s">
        <v>33</v>
      </c>
      <c r="N3" s="187"/>
      <c r="O3" s="190"/>
    </row>
    <row r="4" spans="1:26" ht="15.75" thickBot="1">
      <c r="I4" s="191" t="s">
        <v>103</v>
      </c>
      <c r="J4" s="192"/>
      <c r="K4" s="192"/>
      <c r="L4" s="189"/>
      <c r="M4" s="192" t="s">
        <v>104</v>
      </c>
      <c r="N4" s="192"/>
      <c r="O4" s="193"/>
    </row>
    <row r="5" spans="1:26" ht="15.75" thickBot="1">
      <c r="J5" s="182" t="s">
        <v>102</v>
      </c>
      <c r="K5" s="183"/>
      <c r="L5" s="183"/>
      <c r="M5" s="183"/>
      <c r="N5" s="184"/>
    </row>
    <row r="6" spans="1:26">
      <c r="A6" s="170" t="s">
        <v>29</v>
      </c>
      <c r="B6" s="170"/>
      <c r="C6" s="170"/>
      <c r="D6" s="170"/>
      <c r="E6" s="170"/>
      <c r="F6" s="170"/>
      <c r="G6" s="170"/>
      <c r="H6" s="170"/>
      <c r="I6" s="170"/>
      <c r="J6" s="170"/>
      <c r="K6" s="170"/>
      <c r="L6" s="170"/>
      <c r="M6" s="170"/>
      <c r="N6" s="170"/>
      <c r="O6" s="170"/>
      <c r="P6" s="170"/>
      <c r="Q6" s="170"/>
      <c r="R6" s="170"/>
      <c r="S6" s="170"/>
      <c r="T6" s="170"/>
      <c r="U6" s="170"/>
    </row>
    <row r="7" spans="1:26" ht="15.75" thickBot="1">
      <c r="A7" s="171"/>
      <c r="B7" s="171"/>
      <c r="C7" s="171"/>
      <c r="D7" s="171"/>
      <c r="E7" s="171"/>
      <c r="F7" s="171"/>
      <c r="G7" s="171"/>
      <c r="H7" s="171"/>
      <c r="I7" s="171"/>
      <c r="J7" s="171"/>
      <c r="K7" s="171"/>
      <c r="L7" s="171"/>
      <c r="M7" s="171"/>
      <c r="N7" s="171"/>
      <c r="O7" s="171"/>
      <c r="P7" s="171"/>
      <c r="Q7" s="171"/>
      <c r="R7" s="171"/>
      <c r="S7" s="171"/>
      <c r="T7" s="171"/>
      <c r="U7" s="171"/>
    </row>
    <row r="8" spans="1:26" ht="15.75" thickTop="1"/>
    <row r="9" spans="1:26" ht="15.75" thickBot="1">
      <c r="P9" s="172" t="s">
        <v>23</v>
      </c>
      <c r="Q9" s="172"/>
    </row>
    <row r="10" spans="1:26" ht="15.75" thickBot="1">
      <c r="C10" s="177" t="s">
        <v>10</v>
      </c>
      <c r="D10" s="178"/>
      <c r="H10" s="179" t="s">
        <v>14</v>
      </c>
      <c r="I10" s="180"/>
      <c r="K10" s="15"/>
      <c r="L10" s="16" t="s">
        <v>0</v>
      </c>
      <c r="M10" s="17" t="s">
        <v>1</v>
      </c>
      <c r="P10" s="14" t="s">
        <v>95</v>
      </c>
      <c r="Q10" s="14" t="s">
        <v>96</v>
      </c>
      <c r="R10" s="14" t="s">
        <v>93</v>
      </c>
      <c r="T10" s="181" t="s">
        <v>94</v>
      </c>
      <c r="U10" s="181"/>
      <c r="V10" s="181"/>
      <c r="W10" s="181"/>
      <c r="X10" s="181"/>
      <c r="Y10" s="181"/>
      <c r="Z10" s="181"/>
    </row>
    <row r="11" spans="1:26" ht="15.75" thickBot="1">
      <c r="C11" s="22" t="s">
        <v>11</v>
      </c>
      <c r="D11" s="23" t="s">
        <v>12</v>
      </c>
      <c r="E11" s="7"/>
      <c r="H11" s="30" t="s">
        <v>12</v>
      </c>
      <c r="I11" s="31" t="s">
        <v>11</v>
      </c>
      <c r="K11" s="24" t="s">
        <v>16</v>
      </c>
      <c r="L11" s="52">
        <f>((C41^0)*(2.71828^(-C41)))/FACT(0)</f>
        <v>0.43230664093720378</v>
      </c>
      <c r="M11" s="53">
        <f>((D41^0)*(2.71828^(-D41)))/FACT(0)</f>
        <v>0.34686167149175351</v>
      </c>
      <c r="P11" s="34">
        <v>47</v>
      </c>
      <c r="Q11" s="35">
        <v>29</v>
      </c>
      <c r="R11" s="110">
        <v>15</v>
      </c>
      <c r="T11" s="181"/>
      <c r="U11" s="181"/>
      <c r="V11" s="181"/>
      <c r="W11" s="181"/>
      <c r="X11" s="181"/>
      <c r="Y11" s="181"/>
      <c r="Z11" s="181"/>
    </row>
    <row r="12" spans="1:26">
      <c r="B12">
        <v>1</v>
      </c>
      <c r="C12" s="40">
        <v>4</v>
      </c>
      <c r="D12" s="41">
        <v>0</v>
      </c>
      <c r="G12">
        <v>1</v>
      </c>
      <c r="H12" s="40">
        <v>1</v>
      </c>
      <c r="I12" s="41">
        <v>1</v>
      </c>
      <c r="K12" s="24" t="s">
        <v>17</v>
      </c>
      <c r="L12" s="52">
        <f>((C41^1)*(2.71828^(-C41)))/FACT(1)</f>
        <v>0.36254129336526886</v>
      </c>
      <c r="M12" s="53">
        <f>((D41^1)*(2.71828^(-D41)))/FACT(1)</f>
        <v>0.36726752002958124</v>
      </c>
      <c r="P12" s="36">
        <v>35</v>
      </c>
      <c r="Q12" s="37">
        <v>19</v>
      </c>
      <c r="R12" s="111">
        <v>17</v>
      </c>
      <c r="T12" s="181"/>
      <c r="U12" s="181"/>
      <c r="V12" s="181"/>
      <c r="W12" s="181"/>
      <c r="X12" s="181"/>
      <c r="Y12" s="181"/>
      <c r="Z12" s="181"/>
    </row>
    <row r="13" spans="1:26">
      <c r="B13">
        <v>2</v>
      </c>
      <c r="C13" s="42">
        <v>1</v>
      </c>
      <c r="D13" s="37">
        <v>1</v>
      </c>
      <c r="G13">
        <v>2</v>
      </c>
      <c r="H13" s="42">
        <v>0</v>
      </c>
      <c r="I13" s="37">
        <v>0</v>
      </c>
      <c r="K13" s="24" t="s">
        <v>18</v>
      </c>
      <c r="L13" s="52">
        <f>((C41^2)*(2.71828^(-C41)))/FACT(2)</f>
        <v>0.15201731473522997</v>
      </c>
      <c r="M13" s="53">
        <f>((D41^2)*(2.71828^(-D41)))/FACT(2)</f>
        <v>0.19443692162436824</v>
      </c>
      <c r="P13" s="36">
        <v>21</v>
      </c>
      <c r="Q13" s="37">
        <v>18</v>
      </c>
      <c r="R13" s="111">
        <v>16</v>
      </c>
      <c r="T13" s="181"/>
      <c r="U13" s="181"/>
      <c r="V13" s="181"/>
      <c r="W13" s="181"/>
      <c r="X13" s="181"/>
      <c r="Y13" s="181"/>
      <c r="Z13" s="181"/>
    </row>
    <row r="14" spans="1:26">
      <c r="B14">
        <v>3</v>
      </c>
      <c r="C14" s="42">
        <v>2</v>
      </c>
      <c r="D14" s="37">
        <v>1</v>
      </c>
      <c r="G14">
        <v>3</v>
      </c>
      <c r="H14" s="42">
        <v>1</v>
      </c>
      <c r="I14" s="37">
        <v>1</v>
      </c>
      <c r="K14" s="24" t="s">
        <v>19</v>
      </c>
      <c r="L14" s="52">
        <f>((C41^3)*(2.71828^(-C41)))/FACT(3)</f>
        <v>4.2494955107595322E-2</v>
      </c>
      <c r="M14" s="53">
        <f>((D41^3)*(2.71828^(-D41)))/FACT(3)</f>
        <v>6.8625210832176112E-2</v>
      </c>
      <c r="P14" s="36">
        <v>23</v>
      </c>
      <c r="Q14" s="37">
        <v>25</v>
      </c>
      <c r="R14" s="111">
        <v>16</v>
      </c>
    </row>
    <row r="15" spans="1:26">
      <c r="B15">
        <v>4</v>
      </c>
      <c r="C15" s="42">
        <v>1</v>
      </c>
      <c r="D15" s="37">
        <v>1</v>
      </c>
      <c r="G15">
        <v>4</v>
      </c>
      <c r="H15" s="42">
        <v>0</v>
      </c>
      <c r="I15" s="37">
        <v>0</v>
      </c>
      <c r="K15" s="24" t="s">
        <v>21</v>
      </c>
      <c r="L15" s="52">
        <f>((C41^4)*(2.71828^(-C41)))/FACT(4)</f>
        <v>8.9092871397992938E-3</v>
      </c>
      <c r="M15" s="53">
        <f>((D41^4)*(2.71828^(-D41)))/FACT(4)</f>
        <v>1.8165606829262833E-2</v>
      </c>
      <c r="P15" s="36">
        <v>27</v>
      </c>
      <c r="Q15" s="37">
        <v>23</v>
      </c>
      <c r="R15" s="111">
        <v>16</v>
      </c>
    </row>
    <row r="16" spans="1:26">
      <c r="B16">
        <v>5</v>
      </c>
      <c r="C16" s="42">
        <v>0</v>
      </c>
      <c r="D16" s="37">
        <v>0</v>
      </c>
      <c r="G16">
        <v>5</v>
      </c>
      <c r="H16" s="42">
        <v>2</v>
      </c>
      <c r="I16" s="37">
        <v>1</v>
      </c>
      <c r="K16" s="24" t="s">
        <v>20</v>
      </c>
      <c r="L16" s="52">
        <f>((C41^5)*(2.71828^(-C41)))/FACT(5)</f>
        <v>1.4943025051028886E-3</v>
      </c>
      <c r="M16" s="53">
        <f>((D41^5)*(2.71828^(-D41)))/FACT(5)</f>
        <v>3.8468576486545589E-3</v>
      </c>
      <c r="P16" s="36">
        <v>24</v>
      </c>
      <c r="Q16" s="37">
        <v>19</v>
      </c>
      <c r="R16" s="111">
        <v>15</v>
      </c>
    </row>
    <row r="17" spans="2:18">
      <c r="B17">
        <v>6</v>
      </c>
      <c r="C17" s="42">
        <v>0</v>
      </c>
      <c r="D17" s="37">
        <v>0</v>
      </c>
      <c r="G17">
        <v>6</v>
      </c>
      <c r="H17" s="42">
        <v>0</v>
      </c>
      <c r="I17" s="37">
        <v>2</v>
      </c>
      <c r="K17" s="69" t="s">
        <v>22</v>
      </c>
      <c r="L17" s="70">
        <f>((C41^6)*(2.71828^(-C41)))/FACT(6)</f>
        <v>2.0885883289713939E-4</v>
      </c>
      <c r="M17" s="71">
        <f>((D41^6)*(2.71828^(-D41)))/FACT(6)</f>
        <v>6.7886133707231841E-4</v>
      </c>
      <c r="P17" s="36">
        <v>20</v>
      </c>
      <c r="Q17" s="37">
        <v>25</v>
      </c>
      <c r="R17" s="111">
        <v>17</v>
      </c>
    </row>
    <row r="18" spans="2:18">
      <c r="B18">
        <v>7</v>
      </c>
      <c r="C18" s="42">
        <v>2</v>
      </c>
      <c r="D18" s="37">
        <v>2</v>
      </c>
      <c r="G18">
        <v>7</v>
      </c>
      <c r="H18" s="42">
        <v>2</v>
      </c>
      <c r="I18" s="37">
        <v>1</v>
      </c>
      <c r="K18" s="72" t="s">
        <v>82</v>
      </c>
      <c r="L18" s="52">
        <f>((C41^7)*(2.71828^(-C41)))/FACT(7)</f>
        <v>2.5021905497824782E-5</v>
      </c>
      <c r="M18" s="53">
        <f>((D41^7)*(2.71828^(-D41)))/FACT(7)</f>
        <v>1.0268552905017706E-4</v>
      </c>
      <c r="P18" s="36">
        <v>17</v>
      </c>
      <c r="Q18" s="37">
        <v>20</v>
      </c>
      <c r="R18" s="111">
        <v>15</v>
      </c>
    </row>
    <row r="19" spans="2:18">
      <c r="B19">
        <v>8</v>
      </c>
      <c r="C19" s="42">
        <v>2</v>
      </c>
      <c r="D19" s="37">
        <v>1</v>
      </c>
      <c r="G19">
        <v>8</v>
      </c>
      <c r="H19" s="42">
        <v>0</v>
      </c>
      <c r="I19" s="37">
        <v>2</v>
      </c>
      <c r="K19" s="72" t="s">
        <v>83</v>
      </c>
      <c r="L19" s="52">
        <f>((C41^8)*(2.71828^(-C41)))/FACT(8)</f>
        <v>2.6229859556340458E-6</v>
      </c>
      <c r="M19" s="53">
        <f>((D41^8)*(2.71828^(-D41)))/FACT(8)</f>
        <v>1.3590813967348605E-5</v>
      </c>
      <c r="P19" s="36">
        <v>25</v>
      </c>
      <c r="Q19" s="37">
        <v>17</v>
      </c>
      <c r="R19" s="111">
        <v>17</v>
      </c>
    </row>
    <row r="20" spans="2:18">
      <c r="B20">
        <v>9</v>
      </c>
      <c r="C20" s="42">
        <v>0</v>
      </c>
      <c r="D20" s="37">
        <v>3</v>
      </c>
      <c r="G20">
        <v>9</v>
      </c>
      <c r="H20" s="42">
        <v>0</v>
      </c>
      <c r="I20" s="37">
        <v>1</v>
      </c>
      <c r="K20" s="72" t="s">
        <v>84</v>
      </c>
      <c r="L20" s="52">
        <f>((C41^9)*(2.71828^(-C41)))/FACT(9)</f>
        <v>2.4441003234107281E-7</v>
      </c>
      <c r="M20" s="53">
        <f>((D41^9)*(2.71828^(-D41)))/FACT(9)</f>
        <v>1.5989289587225058E-6</v>
      </c>
      <c r="P20" s="36">
        <v>15</v>
      </c>
      <c r="Q20" s="37">
        <v>17</v>
      </c>
      <c r="R20" s="111">
        <v>17</v>
      </c>
    </row>
    <row r="21" spans="2:18" ht="15.75" thickBot="1">
      <c r="B21">
        <v>10</v>
      </c>
      <c r="C21" s="42">
        <v>1</v>
      </c>
      <c r="D21" s="37">
        <v>1</v>
      </c>
      <c r="G21">
        <v>10</v>
      </c>
      <c r="H21" s="42">
        <v>1</v>
      </c>
      <c r="I21" s="37">
        <v>1</v>
      </c>
      <c r="K21" s="73" t="s">
        <v>85</v>
      </c>
      <c r="L21" s="50">
        <f>((C41^10)*(2.71828^(-C41)))/FACT(10)</f>
        <v>2.0496730988051348E-8</v>
      </c>
      <c r="M21" s="51">
        <f>((D41^10)*(2.71828^(-D41)))/FACT(10)</f>
        <v>1.6929938405934734E-7</v>
      </c>
      <c r="P21" s="36">
        <v>19</v>
      </c>
      <c r="Q21" s="37">
        <v>20</v>
      </c>
      <c r="R21" s="111">
        <v>15</v>
      </c>
    </row>
    <row r="22" spans="2:18">
      <c r="B22">
        <v>11</v>
      </c>
      <c r="C22" s="42">
        <v>2</v>
      </c>
      <c r="D22" s="37">
        <v>3</v>
      </c>
      <c r="G22">
        <v>11</v>
      </c>
      <c r="H22" s="42">
        <v>2</v>
      </c>
      <c r="I22" s="37">
        <v>3</v>
      </c>
      <c r="P22" s="36">
        <v>17</v>
      </c>
      <c r="Q22" s="37">
        <v>13</v>
      </c>
      <c r="R22" s="111">
        <v>16</v>
      </c>
    </row>
    <row r="23" spans="2:18">
      <c r="B23">
        <v>12</v>
      </c>
      <c r="C23" s="42">
        <v>0</v>
      </c>
      <c r="D23" s="37">
        <v>1</v>
      </c>
      <c r="G23">
        <v>12</v>
      </c>
      <c r="H23" s="42">
        <v>1</v>
      </c>
      <c r="I23" s="37">
        <v>3</v>
      </c>
      <c r="P23" s="36"/>
      <c r="Q23" s="37"/>
      <c r="R23" s="111"/>
    </row>
    <row r="24" spans="2:18">
      <c r="B24">
        <v>13</v>
      </c>
      <c r="C24" s="42">
        <v>0</v>
      </c>
      <c r="D24" s="37">
        <v>1</v>
      </c>
      <c r="G24">
        <v>13</v>
      </c>
      <c r="H24" s="42">
        <v>3</v>
      </c>
      <c r="I24" s="37">
        <v>1</v>
      </c>
      <c r="P24" s="36"/>
      <c r="Q24" s="37"/>
      <c r="R24" s="111"/>
    </row>
    <row r="25" spans="2:18">
      <c r="B25">
        <v>14</v>
      </c>
      <c r="C25" s="42">
        <v>4</v>
      </c>
      <c r="D25" s="37">
        <v>0</v>
      </c>
      <c r="G25">
        <v>14</v>
      </c>
      <c r="H25" s="42">
        <v>0</v>
      </c>
      <c r="I25" s="37">
        <v>0</v>
      </c>
      <c r="P25" s="36"/>
      <c r="Q25" s="37"/>
      <c r="R25" s="111"/>
    </row>
    <row r="26" spans="2:18">
      <c r="B26">
        <v>15</v>
      </c>
      <c r="C26" s="42">
        <v>0</v>
      </c>
      <c r="D26" s="37">
        <v>1</v>
      </c>
      <c r="G26">
        <v>15</v>
      </c>
      <c r="H26" s="42">
        <v>2</v>
      </c>
      <c r="I26" s="37">
        <v>2</v>
      </c>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19</v>
      </c>
      <c r="D31" s="9">
        <f>SUM(D12:D30)</f>
        <v>16</v>
      </c>
      <c r="G31" s="27" t="s">
        <v>13</v>
      </c>
      <c r="H31" s="28">
        <f>SUM(H12:H30)</f>
        <v>15</v>
      </c>
      <c r="I31" s="29">
        <f>SUM(I12:I30)</f>
        <v>19</v>
      </c>
      <c r="P31" s="36"/>
      <c r="Q31" s="37"/>
      <c r="R31" s="111"/>
    </row>
    <row r="32" spans="2:18" ht="15.75" thickBot="1">
      <c r="B32" s="14" t="s">
        <v>15</v>
      </c>
      <c r="C32" s="10">
        <f>COUNT(C12:C30)</f>
        <v>15</v>
      </c>
      <c r="G32" s="14" t="s">
        <v>15</v>
      </c>
      <c r="H32" s="26">
        <f>COUNT(H12:H30)</f>
        <v>15</v>
      </c>
      <c r="P32" s="36"/>
      <c r="Q32" s="37"/>
      <c r="R32" s="111"/>
    </row>
    <row r="33" spans="1:21">
      <c r="P33" s="36"/>
      <c r="Q33" s="37"/>
      <c r="R33" s="111"/>
    </row>
    <row r="34" spans="1:21">
      <c r="B34" s="172" t="s">
        <v>5</v>
      </c>
      <c r="C34" s="172"/>
      <c r="D34" s="172"/>
      <c r="E34" s="172"/>
      <c r="G34" s="172" t="s">
        <v>6</v>
      </c>
      <c r="H34" s="172"/>
      <c r="I34" s="172"/>
      <c r="J34" s="172"/>
      <c r="P34" s="36"/>
      <c r="Q34" s="37"/>
      <c r="R34" s="111"/>
    </row>
    <row r="35" spans="1:21">
      <c r="B35" s="147" t="s">
        <v>2</v>
      </c>
      <c r="C35" s="148"/>
      <c r="D35" s="11" t="s">
        <v>4</v>
      </c>
      <c r="E35" s="3">
        <f>C31/C32</f>
        <v>1.2666666666666666</v>
      </c>
      <c r="G35" s="147" t="s">
        <v>2</v>
      </c>
      <c r="H35" s="148"/>
      <c r="I35" s="11" t="s">
        <v>4</v>
      </c>
      <c r="J35" s="3">
        <f>I31/H32</f>
        <v>1.2666666666666666</v>
      </c>
      <c r="P35" s="36"/>
      <c r="Q35" s="37"/>
      <c r="R35" s="111"/>
    </row>
    <row r="36" spans="1:21" ht="15.75" thickBot="1">
      <c r="B36" s="149" t="s">
        <v>3</v>
      </c>
      <c r="C36" s="150"/>
      <c r="D36" s="12" t="s">
        <v>4</v>
      </c>
      <c r="E36" s="2">
        <f>D31/C32</f>
        <v>1.0666666666666667</v>
      </c>
      <c r="G36" s="149" t="s">
        <v>3</v>
      </c>
      <c r="H36" s="150"/>
      <c r="I36" s="12" t="s">
        <v>4</v>
      </c>
      <c r="J36" s="2">
        <f>H31/H32</f>
        <v>1</v>
      </c>
      <c r="P36" s="36"/>
      <c r="Q36" s="37"/>
      <c r="R36" s="111"/>
    </row>
    <row r="37" spans="1:21" ht="15.75" thickBot="1">
      <c r="P37" s="38"/>
      <c r="Q37" s="39"/>
      <c r="R37" s="112"/>
    </row>
    <row r="38" spans="1:21" ht="15.75" thickBot="1">
      <c r="B38" s="60"/>
      <c r="C38" s="61" t="s">
        <v>0</v>
      </c>
      <c r="D38" s="62" t="s">
        <v>1</v>
      </c>
      <c r="O38" s="114" t="s">
        <v>24</v>
      </c>
      <c r="P38" s="13">
        <f>SUM(P11:P37)</f>
        <v>290</v>
      </c>
      <c r="Q38" s="113">
        <f>SUM(Q11:Q37)</f>
        <v>245</v>
      </c>
    </row>
    <row r="39" spans="1:21" ht="15.75" thickBot="1">
      <c r="B39" s="63" t="s">
        <v>27</v>
      </c>
      <c r="C39" s="64">
        <f>E35/P41</f>
        <v>0.83862068965517234</v>
      </c>
      <c r="D39" s="65">
        <f>J35/Q41</f>
        <v>0.99265306122448971</v>
      </c>
      <c r="F39" t="s">
        <v>92</v>
      </c>
      <c r="O39" s="14" t="s">
        <v>25</v>
      </c>
      <c r="P39" s="173">
        <f>SUM(R11:R37)</f>
        <v>192</v>
      </c>
      <c r="Q39" s="174"/>
    </row>
    <row r="40" spans="1:21" ht="15.75" thickBot="1">
      <c r="B40" s="18" t="s">
        <v>77</v>
      </c>
      <c r="C40" s="20">
        <f>E36/Q41</f>
        <v>0.8359183673469387</v>
      </c>
      <c r="D40" s="21">
        <f>J36/P41</f>
        <v>0.66206896551724137</v>
      </c>
      <c r="O40" s="14" t="s">
        <v>26</v>
      </c>
      <c r="P40" s="175">
        <f>COUNT(P11:P37)</f>
        <v>12</v>
      </c>
      <c r="Q40" s="176"/>
    </row>
    <row r="41" spans="1:21" ht="15.75" thickBot="1">
      <c r="B41" s="18" t="s">
        <v>78</v>
      </c>
      <c r="C41" s="20">
        <f>C39*D40*P41</f>
        <v>0.83862068965517245</v>
      </c>
      <c r="D41" s="21">
        <f>C40*D39*Q41</f>
        <v>1.058829931972789</v>
      </c>
      <c r="O41" s="14" t="s">
        <v>35</v>
      </c>
      <c r="P41" s="19">
        <f>P38/(P39)</f>
        <v>1.5104166666666667</v>
      </c>
      <c r="Q41" s="113">
        <f>Q38/(P39)</f>
        <v>1.2760416666666667</v>
      </c>
    </row>
    <row r="43" spans="1:21">
      <c r="A43" s="170" t="s">
        <v>30</v>
      </c>
      <c r="B43" s="170"/>
      <c r="C43" s="170"/>
      <c r="D43" s="170"/>
      <c r="E43" s="170"/>
      <c r="F43" s="170"/>
      <c r="G43" s="170"/>
      <c r="H43" s="170"/>
      <c r="I43" s="170"/>
      <c r="J43" s="170"/>
      <c r="K43" s="170"/>
      <c r="L43" s="170"/>
      <c r="M43" s="170"/>
      <c r="N43" s="170"/>
      <c r="O43" s="170"/>
      <c r="P43" s="170"/>
      <c r="Q43" s="170"/>
      <c r="R43" s="170"/>
      <c r="S43" s="170"/>
      <c r="T43" s="170"/>
      <c r="U43" s="170"/>
    </row>
    <row r="44" spans="1:21" ht="15.75" thickBot="1">
      <c r="A44" s="171"/>
      <c r="B44" s="171"/>
      <c r="C44" s="171"/>
      <c r="D44" s="171"/>
      <c r="E44" s="171"/>
      <c r="F44" s="171"/>
      <c r="G44" s="171"/>
      <c r="H44" s="171"/>
      <c r="I44" s="171"/>
      <c r="J44" s="171"/>
      <c r="K44" s="171"/>
      <c r="L44" s="171"/>
      <c r="M44" s="171"/>
      <c r="N44" s="171"/>
      <c r="O44" s="171"/>
      <c r="P44" s="171"/>
      <c r="Q44" s="171"/>
      <c r="R44" s="171"/>
      <c r="S44" s="171"/>
      <c r="T44" s="171"/>
      <c r="U44" s="17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2018-06-02T15:55:41Z</dcterms:modified>
</cp:coreProperties>
</file>