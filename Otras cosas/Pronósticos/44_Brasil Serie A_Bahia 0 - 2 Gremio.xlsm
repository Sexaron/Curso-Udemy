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<sst xmlns="http://schemas.openxmlformats.org/spreadsheetml/2006/main" count="160" uniqueCount="113">
  <si>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</si>
  <si>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</si>
  <si>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</si>
  <si>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</si>
  <si>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</si>
  <si>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</si>
  <si>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</si>
  <si>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</si>
  <si>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</si>
  <si>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</si>
  <si>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</si>
  <si>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</si>
  <si>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</si>
  <si>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</si>
  <si>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</si>
  <si>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</si>
  <si>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</si>
  <si>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</si>
  <si>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</si>
  <si>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</si>
  <si>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</si>
  <si>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</si>
  <si>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</si>
  <si>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</si>
  <si>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</si>
  <si>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</si>
  <si>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</si>
  <si>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</si>
  <si>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</si>
  <si>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</si>
  <si>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</si>
  <si>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</si>
  <si>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</si>
  <si>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</si>
  <si>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</si>
  <si>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</si>
  <si>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</si>
  <si>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</si>
  <si>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</si>
  <si>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</si>
  <si>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</si>
  <si>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</si>
  <si>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</si>
  <si>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</si>
  <si>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</si>
  <si>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</si>
  <si>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</si>
  <si>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</si>
  <si>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</si>
  <si>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</si>
  <si>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</si>
  <si>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</si>
  <si>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</si>
  <si>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</si>
  <si>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</si>
  <si>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</si>
  <si>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</si>
  <si>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</si>
  <si>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</si>
  <si>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</si>
  <si>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</si>
  <si>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</si>
  <si>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</si>
  <si>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</si>
  <si>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</si>
  <si>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</si>
  <si>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</si>
  <si>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</si>
  <si>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</si>
  <si>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</si>
  <si>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</si>
  <si>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</si>
  <si>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</si>
  <si>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</si>
  <si>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</si>
  <si>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</si>
  <si>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</si>
  <si>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</si>
  <si>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</si>
  <si>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</si>
  <si>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</si>
  <si>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</si>
  <si>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</si>
  <si>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</si>
  <si>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</si>
  <si>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</si>
  <si>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</si>
  <si>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</si>
  <si>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</si>
  <si>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</si>
  <si>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</si>
  <si>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</si>
  <si>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</si>
  <si>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</si>
  <si>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</si>
  <si>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</si>
  <si>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</si>
  <si>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</si>
  <si>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</si>
  <si>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</si>
  <si>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</si>
  <si>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</si>
  <si>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</si>
  <si>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</si>
  <si>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</si>
  <si>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</si>
  <si>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</si>
  <si>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</si>
  <si>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</si>
  <si>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</si>
  <si>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0-0</t>
  </si>
  <si>
    <t>Brasil Serie A</t>
  </si>
  <si>
    <t>1-0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</si>
</sst>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08">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C18" sqref="AC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75" t="s">
        <v>32</v>
      </c>
      <c r="G2" s="173"/>
      <c r="H2" s="173"/>
      <c r="I2" s="179" t="s">
        <v>31</v>
      </c>
      <c r="J2" s="173" t="s">
        <v>33</v>
      </c>
      <c r="K2" s="173"/>
      <c r="L2" s="174"/>
      <c r="N2" s="149" t="s">
        <v>36</v>
      </c>
      <c r="O2" s="150"/>
      <c r="P2" s="150"/>
      <c r="Q2" s="150"/>
      <c r="R2" s="150"/>
      <c r="S2" s="54">
        <v>45</v>
      </c>
    </row>
    <row r="3" spans="1:33" ht="15.75" thickBot="1">
      <c r="F3" s="178" t="str">
        <f>Cálculos!I4</f>
        <v>Bahia</v>
      </c>
      <c r="G3" s="176"/>
      <c r="H3" s="176"/>
      <c r="I3" s="180"/>
      <c r="J3" s="176" t="str">
        <f>Cálculos!M4</f>
        <v>Gremio</v>
      </c>
      <c r="K3" s="176"/>
      <c r="L3" s="177"/>
    </row>
    <row r="4" spans="1:33" ht="15.75" thickBot="1">
      <c r="G4" s="170" t="str">
        <f>Cálculos!J5</f>
        <v>Brasil Serie A</v>
      </c>
      <c r="H4" s="171"/>
      <c r="I4" s="171"/>
      <c r="J4" s="171"/>
      <c r="K4" s="172"/>
    </row>
    <row r="6" spans="1:33">
      <c r="A6" s="127"/>
      <c r="B6" s="127"/>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row>
    <row r="7" spans="1:33" ht="15.75" thickBot="1"/>
    <row r="8" spans="1:33" ht="15.75" thickBot="1">
      <c r="D8" s="165" t="s">
        <v>81</v>
      </c>
      <c r="E8" s="166"/>
      <c r="F8" s="166"/>
      <c r="G8" s="166"/>
      <c r="H8" s="166"/>
      <c r="I8" s="166"/>
      <c r="J8" s="166"/>
      <c r="K8" s="166"/>
      <c r="L8" s="166"/>
      <c r="M8" s="166"/>
      <c r="N8" s="167"/>
      <c r="R8" s="151" t="s">
        <v>5</v>
      </c>
      <c r="S8" s="152"/>
      <c r="T8" s="152"/>
      <c r="U8" s="153"/>
      <c r="V8"/>
      <c r="W8" s="151" t="s">
        <v>6</v>
      </c>
      <c r="X8" s="152"/>
      <c r="Y8" s="152"/>
      <c r="Z8" s="153"/>
      <c r="AA8"/>
      <c r="AB8" s="106" t="s">
        <v>89</v>
      </c>
      <c r="AC8" s="108">
        <f>SUM(E12:N20,F11:N11,G10:N10,D13:D20)</f>
        <v>5.6526811466211933E-2</v>
      </c>
    </row>
    <row r="9" spans="1:33" ht="15.75" customHeight="1" thickBot="1">
      <c r="C9" s="68" t="s">
        <v>79</v>
      </c>
      <c r="D9" s="95">
        <v>0</v>
      </c>
      <c r="E9" s="82">
        <v>1</v>
      </c>
      <c r="F9" s="82">
        <v>2</v>
      </c>
      <c r="G9" s="82">
        <v>3</v>
      </c>
      <c r="H9" s="82">
        <v>4</v>
      </c>
      <c r="I9" s="82">
        <v>5</v>
      </c>
      <c r="J9" s="82">
        <v>6</v>
      </c>
      <c r="K9" s="82">
        <v>7</v>
      </c>
      <c r="L9" s="82">
        <v>8</v>
      </c>
      <c r="M9" s="82">
        <v>9</v>
      </c>
      <c r="N9" s="83">
        <v>10</v>
      </c>
      <c r="R9" s="158" t="s">
        <v>2</v>
      </c>
      <c r="S9" s="159"/>
      <c r="T9" s="11" t="s">
        <v>4</v>
      </c>
      <c r="U9" s="86">
        <f>Cálculos!E35</f>
        <v>2.0999999999999996</v>
      </c>
      <c r="V9"/>
      <c r="W9" s="158" t="s">
        <v>2</v>
      </c>
      <c r="X9" s="159"/>
      <c r="Y9" s="11" t="s">
        <v>4</v>
      </c>
      <c r="Z9" s="86">
        <f>Cálculos!J35</f>
        <v>0.89999999999999991</v>
      </c>
      <c r="AA9"/>
      <c r="AB9" s="109" t="s">
        <v>90</v>
      </c>
      <c r="AC9" s="107">
        <f>SUM(D10:D12,E11,E10,F10)</f>
        <v>0.94347376739295141</v>
      </c>
    </row>
    <row r="10" spans="1:33" ht="15.75" customHeight="1" thickBot="1">
      <c r="B10" s="162" t="s">
        <v>80</v>
      </c>
      <c r="C10" s="94">
        <v>0</v>
      </c>
      <c r="D10" s="102">
        <f>Cálculos!L11*Cálculos!M11</f>
        <v>0.42290942043473434</v>
      </c>
      <c r="E10" s="96">
        <f>Cálculos!M12*Cálculos!L11</f>
        <v>0.12807297448570804</v>
      </c>
      <c r="F10" s="77">
        <f>Cálculos!M13*Cálculos!L11</f>
        <v>1.9392671339356196E-2</v>
      </c>
      <c r="G10" s="77">
        <f>Cálculos!M14*Cálculos!L11</f>
        <v>1.9576115527701458E-3</v>
      </c>
      <c r="H10" s="77">
        <f>Cálculos!M15*Cálculos!L11</f>
        <v>1.4820971249182078E-4</v>
      </c>
      <c r="I10" s="77">
        <f>Cálculos!M16*Cálculos!L11</f>
        <v>8.9767017755181175E-6</v>
      </c>
      <c r="J10" s="77">
        <f>Cálculos!M17*Cálculos!L11</f>
        <v>4.5308082610216436E-7</v>
      </c>
      <c r="K10" s="77">
        <f>Cálculos!M18*Cálculos!L11</f>
        <v>1.960143110608012E-8</v>
      </c>
      <c r="L10" s="77">
        <f>Cálculos!M19*Cálculos!L11</f>
        <v>7.4200687683658006E-10</v>
      </c>
      <c r="M10" s="77">
        <f>Cálculos!M20*Cálculos!L11</f>
        <v>2.4967528693555191E-11</v>
      </c>
      <c r="N10" s="84">
        <f>Cálculos!M21*Cálculos!L11</f>
        <v>7.5611124057104283E-13</v>
      </c>
      <c r="R10" s="160" t="s">
        <v>3</v>
      </c>
      <c r="S10" s="161"/>
      <c r="T10" s="12" t="s">
        <v>4</v>
      </c>
      <c r="U10" s="87">
        <f>Cálculos!E36</f>
        <v>0.3</v>
      </c>
      <c r="V10"/>
      <c r="W10" s="160" t="s">
        <v>3</v>
      </c>
      <c r="X10" s="161"/>
      <c r="Y10" s="12" t="s">
        <v>4</v>
      </c>
      <c r="Z10" s="87">
        <f>Cálculos!J36</f>
        <v>0.4</v>
      </c>
      <c r="AA10"/>
    </row>
    <row r="11" spans="1:33" ht="15.75" thickBot="1">
      <c r="B11" s="163"/>
      <c r="C11" s="66">
        <v>1</v>
      </c>
      <c r="D11" s="99">
        <f>Cálculos!L12*Cálculos!M11</f>
        <v>0.23588195834167741</v>
      </c>
      <c r="E11" s="103">
        <f>Cálculos!L12*Cálculos!M12</f>
        <v>7.1433982249148514E-2</v>
      </c>
      <c r="F11" s="97">
        <f>Cálculos!L12*Cálculos!M13</f>
        <v>1.081645636623931E-2</v>
      </c>
      <c r="G11" s="80">
        <f>Cálculos!L12*Cálculos!M14</f>
        <v>1.0918774196730762E-3</v>
      </c>
      <c r="H11" s="80">
        <f>Cálculos!L12*Cálculos!M15</f>
        <v>8.2665449239437949E-5</v>
      </c>
      <c r="I11" s="80">
        <f>Cálculos!L12*Cálculos!M16</f>
        <v>5.0068451823129845E-6</v>
      </c>
      <c r="J11" s="80">
        <f>Cálculos!L12*Cálculos!M17</f>
        <v>2.5271036156674316E-7</v>
      </c>
      <c r="K11" s="80">
        <f>Cálculos!L12*Cálculos!M18</f>
        <v>1.0932894213727246E-8</v>
      </c>
      <c r="L11" s="80">
        <f>Cálculos!L12*Cálculos!M19</f>
        <v>4.1386175562437088E-10</v>
      </c>
      <c r="M11" s="80">
        <f>Cálculos!L12*Cálculos!M20</f>
        <v>1.3925888804117342E-11</v>
      </c>
      <c r="N11" s="81">
        <f>Cálculos!L12*Cálculos!M21</f>
        <v>4.2172860554090484E-13</v>
      </c>
      <c r="S11"/>
      <c r="T11"/>
      <c r="U11"/>
      <c r="V11"/>
      <c r="W11"/>
      <c r="X11"/>
      <c r="Y11"/>
      <c r="Z11"/>
      <c r="AA11"/>
      <c r="AB11" s="128" t="s">
        <v>91</v>
      </c>
      <c r="AC11" s="129"/>
    </row>
    <row r="12" spans="1:33" ht="15.75" customHeight="1" thickBot="1">
      <c r="B12" s="163"/>
      <c r="C12" s="66">
        <v>2</v>
      </c>
      <c r="D12" s="76">
        <f>Cálculos!L13*Cálculos!M11</f>
        <v>6.5782760542326985E-2</v>
      </c>
      <c r="E12" s="100">
        <f>Cálculos!L13*Cálculos!M12</f>
        <v>1.9921508969642534E-2</v>
      </c>
      <c r="F12" s="103">
        <f>Cálculos!L13*Cálculos!M13</f>
        <v>3.0164933514168183E-3</v>
      </c>
      <c r="G12" s="97">
        <f>Cálculos!L13*Cálculos!M14</f>
        <v>3.0450277479842746E-4</v>
      </c>
      <c r="H12" s="80">
        <f>Cálculos!L13*Cálculos!M15</f>
        <v>2.3053740483894451E-5</v>
      </c>
      <c r="I12" s="80">
        <f>Cálculos!L13*Cálculos!M16</f>
        <v>1.3963089844434449E-6</v>
      </c>
      <c r="J12" s="80">
        <f>Cálculos!L13*Cálculos!M17</f>
        <v>7.0475865633733311E-8</v>
      </c>
      <c r="K12" s="80">
        <f>Cálculos!L13*Cálculos!M18</f>
        <v>3.0489655383242537E-9</v>
      </c>
      <c r="L12" s="80">
        <f>Cálculos!L13*Cálculos!M19</f>
        <v>1.1541776640852451E-10</v>
      </c>
      <c r="M12" s="80">
        <f>Cálculos!L13*Cálculos!M20</f>
        <v>3.8836518696922431E-12</v>
      </c>
      <c r="N12" s="81">
        <f>Cálculos!L13*Cálculos!M21</f>
        <v>1.1761167351324751E-13</v>
      </c>
      <c r="R12" s="156" t="s">
        <v>28</v>
      </c>
      <c r="S12" s="154" t="s">
        <v>7</v>
      </c>
      <c r="T12" s="154"/>
      <c r="U12" s="154"/>
      <c r="V12" s="154"/>
      <c r="W12" s="154"/>
      <c r="X12" s="154"/>
      <c r="Y12" s="155"/>
      <c r="Z12"/>
      <c r="AA12"/>
      <c r="AB12" s="115" t="s">
        <v>96</v>
      </c>
      <c r="AC12" s="116" t="s">
        <v>97</v>
      </c>
    </row>
    <row r="13" spans="1:33" ht="15.75" customHeight="1" thickBot="1">
      <c r="B13" s="163"/>
      <c r="C13" s="66">
        <v>3</v>
      </c>
      <c r="D13" s="76">
        <f>Cálculos!L14*Cálculos!M11</f>
        <v>1.2230330840029429E-2</v>
      </c>
      <c r="E13" s="78">
        <f>Cálculos!L14*Cálculos!M12</f>
        <v>3.7038069476359385E-3</v>
      </c>
      <c r="F13" s="100">
        <f>Cálculos!L14*Cálculos!M13</f>
        <v>5.6082644389541462E-4</v>
      </c>
      <c r="G13" s="103">
        <f>Cálculos!L14*Cálculos!M14</f>
        <v>5.6613155890523616E-5</v>
      </c>
      <c r="H13" s="97">
        <f>Cálculos!L14*Cálculos!M15</f>
        <v>4.286151430765655E-6</v>
      </c>
      <c r="I13" s="80">
        <f>Cálculos!L14*Cálculos!M16</f>
        <v>2.5960176638772517E-7</v>
      </c>
      <c r="J13" s="80">
        <f>Cálculos!L14*Cálculos!M17</f>
        <v>1.3102872938623694E-8</v>
      </c>
      <c r="K13" s="80">
        <f>Cálculos!L14*Cálculos!M18</f>
        <v>5.6686367288524512E-10</v>
      </c>
      <c r="L13" s="80">
        <f>Cálculos!L14*Cálculos!M19</f>
        <v>2.1458471130672871E-11</v>
      </c>
      <c r="M13" s="80">
        <f>Cálculos!L14*Cálculos!M20</f>
        <v>7.2204855561318171E-13</v>
      </c>
      <c r="N13" s="81">
        <f>Cálculos!L14*Cálculos!M21</f>
        <v>2.1866362339582971E-14</v>
      </c>
      <c r="O13" s="32"/>
      <c r="R13" s="157"/>
      <c r="S13" s="104">
        <v>0</v>
      </c>
      <c r="T13" s="104">
        <v>1</v>
      </c>
      <c r="U13" s="104">
        <v>2</v>
      </c>
      <c r="V13" s="104">
        <v>3</v>
      </c>
      <c r="W13" s="104">
        <v>4</v>
      </c>
      <c r="X13" s="104">
        <v>5</v>
      </c>
      <c r="Y13" s="105">
        <v>6</v>
      </c>
      <c r="Z13"/>
      <c r="AA13" s="33"/>
      <c r="AB13" s="117">
        <f>SUM(E11:N20)</f>
        <v>0.1117003550940979</v>
      </c>
      <c r="AC13" s="107">
        <f>SUM(D10:D20,E10:N10)</f>
        <v>0.88830022376506557</v>
      </c>
    </row>
    <row r="14" spans="1:33" ht="15.75" customHeight="1" thickBot="1">
      <c r="B14" s="163"/>
      <c r="C14" s="66">
        <v>4</v>
      </c>
      <c r="D14" s="76">
        <f>Cálculos!L15*Cálculos!M11</f>
        <v>1.7053973323337035E-3</v>
      </c>
      <c r="E14" s="78">
        <f>Cálculos!L15*Cálculos!M12</f>
        <v>5.1645884077835527E-4</v>
      </c>
      <c r="F14" s="78">
        <f>Cálculos!L15*Cálculos!M13</f>
        <v>7.8201639336776614E-5</v>
      </c>
      <c r="G14" s="100">
        <f>Cálculos!L15*Cálculos!M14</f>
        <v>7.8941384573746135E-6</v>
      </c>
      <c r="H14" s="103">
        <f>Cálculos!L15*Cálculos!M15</f>
        <v>5.9766095550596289E-7</v>
      </c>
      <c r="I14" s="97">
        <f>Cálculos!L15*Cálculos!M16</f>
        <v>3.6198870305104401E-8</v>
      </c>
      <c r="J14" s="80">
        <f>Cálculos!L15*Cálculos!M17</f>
        <v>1.8270646025616879E-9</v>
      </c>
      <c r="K14" s="80">
        <f>Cálculos!L15*Cálculos!M18</f>
        <v>7.9043470547118575E-11</v>
      </c>
      <c r="L14" s="80">
        <f>Cálculos!L15*Cálculos!M19</f>
        <v>2.9921692144610252E-12</v>
      </c>
      <c r="M14" s="80">
        <f>Cálculos!L15*Cálculos!M20</f>
        <v>1.0068245059470206E-13</v>
      </c>
      <c r="N14" s="81">
        <f>Cálculos!L15*Cálculos!M21</f>
        <v>3.0490455646314494E-15</v>
      </c>
      <c r="O14" s="33"/>
      <c r="R14" s="24" t="s">
        <v>8</v>
      </c>
      <c r="S14" s="46">
        <f>Cálculos!L11</f>
        <v>0.5724902210578876</v>
      </c>
      <c r="T14" s="47">
        <f>Cálculos!L12</f>
        <v>0.31931214569724736</v>
      </c>
      <c r="U14" s="47">
        <f>Cálculos!L13</f>
        <v>8.9049771192048321E-2</v>
      </c>
      <c r="V14" s="47">
        <f>Cálculos!L14</f>
        <v>1.6556133460025619E-2</v>
      </c>
      <c r="W14" s="47">
        <f>Cálculos!L15</f>
        <v>2.3085872496659723E-3</v>
      </c>
      <c r="X14" s="47">
        <f>Cálculos!L16</f>
        <v>2.5752752487473852E-4</v>
      </c>
      <c r="Y14" s="48">
        <f>Cálculos!L17</f>
        <v>2.3939758712355684E-5</v>
      </c>
      <c r="Z14"/>
      <c r="AA14"/>
    </row>
    <row r="15" spans="1:33" ht="15.75" thickBot="1">
      <c r="B15" s="163"/>
      <c r="C15" s="66">
        <v>5</v>
      </c>
      <c r="D15" s="76">
        <f>Cálculos!L16*Cálculos!M11</f>
        <v>1.9024048321648928E-4</v>
      </c>
      <c r="E15" s="78">
        <f>Cálculos!L16*Cálculos!M12</f>
        <v>5.7612016606507087E-5</v>
      </c>
      <c r="F15" s="78">
        <f>Cálculos!L16*Cálculos!M13</f>
        <v>8.7235492712961042E-6</v>
      </c>
      <c r="G15" s="78">
        <f>Cálculos!L16*Cálculos!M14</f>
        <v>8.8060693319705273E-7</v>
      </c>
      <c r="H15" s="100">
        <f>Cálculos!L16*Cálculos!M15</f>
        <v>6.6670274908601167E-8</v>
      </c>
      <c r="I15" s="103">
        <f>Cálculos!L16*Cálculos!M16</f>
        <v>4.0380563802750057E-9</v>
      </c>
      <c r="J15" s="97">
        <f>Cálculos!L16*Cálculos!M17</f>
        <v>2.0381271054496139E-10</v>
      </c>
      <c r="K15" s="80">
        <f>Cálculos!L16*Cálculos!M18</f>
        <v>8.8174572264721697E-12</v>
      </c>
      <c r="L15" s="80">
        <f>Cálculos!L16*Cálculos!M19</f>
        <v>3.3378246021155624E-13</v>
      </c>
      <c r="M15" s="80">
        <f>Cálculos!L16*Cálculos!M20</f>
        <v>1.1231328728740202E-14</v>
      </c>
      <c r="N15" s="81">
        <f>Cálculos!L16*Cálculos!M21</f>
        <v>3.4012713082576741E-16</v>
      </c>
      <c r="O15" s="33"/>
      <c r="R15" s="25" t="s">
        <v>9</v>
      </c>
      <c r="S15" s="49">
        <f>Cálculos!M11</f>
        <v>0.73871902938927525</v>
      </c>
      <c r="T15" s="50">
        <f>Cálculos!M12</f>
        <v>0.22371207362991427</v>
      </c>
      <c r="U15" s="50">
        <f>Cálculos!M13</f>
        <v>3.3874240338151201E-2</v>
      </c>
      <c r="V15" s="50">
        <f>Cálculos!M14</f>
        <v>3.4194672341349929E-3</v>
      </c>
      <c r="W15" s="50">
        <f>Cálculos!M15</f>
        <v>2.5888601593569314E-4</v>
      </c>
      <c r="X15" s="50">
        <f>Cálculos!M16</f>
        <v>1.5680096262483467E-5</v>
      </c>
      <c r="Y15" s="51">
        <f>Cálculos!M17</f>
        <v>7.9142107486994239E-7</v>
      </c>
      <c r="Z15"/>
      <c r="AA15" s="33"/>
      <c r="AB15" s="134" t="s">
        <v>86</v>
      </c>
      <c r="AC15" s="135"/>
    </row>
    <row r="16" spans="1:33" ht="15.75" thickBot="1">
      <c r="B16" s="163"/>
      <c r="C16" s="66">
        <v>6</v>
      </c>
      <c r="D16" s="76">
        <f>Cálculos!L17*Cálculos!M11</f>
        <v>1.7684755319804835E-5</v>
      </c>
      <c r="E16" s="78">
        <f>Cálculos!L17*Cálculos!M12</f>
        <v>5.355613063740896E-6</v>
      </c>
      <c r="F16" s="78">
        <f>Cálculos!L17*Cálculos!M13</f>
        <v>8.1094114025968557E-7</v>
      </c>
      <c r="G16" s="78">
        <f>Cálculos!L17*Cálculos!M14</f>
        <v>8.1861220509997993E-8</v>
      </c>
      <c r="H16" s="78">
        <f>Cálculos!L17*Cálculos!M15</f>
        <v>6.1976687555035624E-9</v>
      </c>
      <c r="I16" s="100">
        <f>Cálculos!L17*Cálculos!M16</f>
        <v>3.7537772111036437E-10</v>
      </c>
      <c r="J16" s="103">
        <f>Cálculos!L17*Cálculos!M17</f>
        <v>1.8946429572259603E-11</v>
      </c>
      <c r="K16" s="97">
        <f>Cálculos!L17*Cálculos!M18</f>
        <v>8.1967082377285267E-13</v>
      </c>
      <c r="L16" s="80">
        <f>Cálculos!L17*Cálculos!M19</f>
        <v>3.102841750126626E-14</v>
      </c>
      <c r="M16" s="80">
        <f>Cálculos!L17*Cálculos!M20</f>
        <v>1.0440643186236888E-15</v>
      </c>
      <c r="N16" s="81">
        <f>Cálculos!L17*Cálculos!M21</f>
        <v>3.1618218081563325E-17</v>
      </c>
      <c r="O16" s="33"/>
      <c r="S16"/>
      <c r="T16"/>
      <c r="U16"/>
      <c r="V16"/>
      <c r="W16"/>
      <c r="X16"/>
      <c r="Y16"/>
      <c r="Z16"/>
      <c r="AA16"/>
      <c r="AB16" s="132" t="s">
        <v>110</v>
      </c>
      <c r="AC16" s="133"/>
    </row>
    <row r="17" spans="1:33" ht="15.75" customHeight="1" thickBot="1">
      <c r="B17" s="163"/>
      <c r="C17" s="66">
        <v>7</v>
      </c>
      <c r="D17" s="76">
        <f>Cálculos!L18*Cálculos!M11</f>
        <v>1.4091213038820494E-6</v>
      </c>
      <c r="E17" s="78">
        <f>Cálculos!L18*Cálculos!M12</f>
        <v>4.2673524891887462E-7</v>
      </c>
      <c r="F17" s="78">
        <f>Cálculos!L18*Cálculos!M13</f>
        <v>6.4615790055891754E-8</v>
      </c>
      <c r="G17" s="78">
        <f>Cálculos!L18*Cálculos!M14</f>
        <v>6.5227020502366399E-9</v>
      </c>
      <c r="H17" s="78">
        <f>Cálculos!L18*Cálculos!M15</f>
        <v>4.9383024643852385E-10</v>
      </c>
      <c r="I17" s="78">
        <f>Cálculos!L18*Cálculos!M16</f>
        <v>2.9910096818073833E-11</v>
      </c>
      <c r="J17" s="100">
        <f>Cálculos!L18*Cálculos!M17</f>
        <v>1.5096515083176452E-12</v>
      </c>
      <c r="K17" s="103">
        <f>Cálculos!L18*Cálculos!M18</f>
        <v>6.5311371238220898E-14</v>
      </c>
      <c r="L17" s="97">
        <f>Cálculos!L18*Cálculos!M19</f>
        <v>2.4723443065008957E-15</v>
      </c>
      <c r="M17" s="80">
        <f>Cálculos!L18*Cálculos!M20</f>
        <v>8.3191044907935531E-17</v>
      </c>
      <c r="N17" s="81">
        <f>Cálculos!L18*Cálculos!M21</f>
        <v>2.519339616738966E-18</v>
      </c>
      <c r="R17" s="147"/>
      <c r="S17" s="148"/>
      <c r="T17" s="88" t="s">
        <v>88</v>
      </c>
      <c r="U17" s="89" t="s">
        <v>87</v>
      </c>
      <c r="V17"/>
      <c r="Y17"/>
      <c r="AB17" s="130" t="s">
        <v>112</v>
      </c>
      <c r="AC17" s="131"/>
    </row>
    <row r="18" spans="1:33" ht="15.75" thickBot="1">
      <c r="B18" s="163"/>
      <c r="C18" s="66">
        <v>8</v>
      </c>
      <c r="D18" s="76">
        <f>Cálculos!L19*Cálculos!M11</f>
        <v>9.8243937306656472E-8</v>
      </c>
      <c r="E18" s="78">
        <f>Cálculos!L19*Cálculos!M12</f>
        <v>2.9751981554623934E-8</v>
      </c>
      <c r="F18" s="78">
        <f>Cálculos!L19*Cálculos!M13</f>
        <v>4.5050128826967717E-9</v>
      </c>
      <c r="G18" s="78">
        <f>Cálculos!L19*Cálculos!M14</f>
        <v>4.5476278694249846E-10</v>
      </c>
      <c r="H18" s="78">
        <f>Cálculos!L19*Cálculos!M15</f>
        <v>3.4429844781693878E-11</v>
      </c>
      <c r="I18" s="78">
        <f>Cálculos!L19*Cálculos!M16</f>
        <v>2.0853319501561076E-12</v>
      </c>
      <c r="J18" s="78">
        <f>Cálculos!L19*Cálculos!M17</f>
        <v>1.0525290315990621E-13</v>
      </c>
      <c r="K18" s="100">
        <f>Cálculos!L19*Cálculos!M18</f>
        <v>4.5535088027287601E-15</v>
      </c>
      <c r="L18" s="103">
        <f>Cálculos!L19*Cálculos!M19</f>
        <v>1.7237184504924242E-16</v>
      </c>
      <c r="M18" s="97">
        <f>Cálculos!L19*Cálculos!M20</f>
        <v>5.8000796509812639E-18</v>
      </c>
      <c r="N18" s="81">
        <f>Cálculos!L19*Cálculos!M21</f>
        <v>1.7564835807904067E-19</v>
      </c>
      <c r="R18" s="145" t="s">
        <v>27</v>
      </c>
      <c r="S18" s="146"/>
      <c r="T18" s="90">
        <f>Cálculos!C39</f>
        <v>1.3943999999999996</v>
      </c>
      <c r="U18" s="91">
        <f>Cálculos!D39</f>
        <v>1.0094594594594595</v>
      </c>
      <c r="V18"/>
      <c r="Y18"/>
    </row>
    <row r="19" spans="1:33" ht="15.75" thickBot="1">
      <c r="B19" s="163"/>
      <c r="C19" s="66">
        <v>9</v>
      </c>
      <c r="D19" s="76">
        <f>Cálculos!L20*Cálculos!M11</f>
        <v>6.0885042746845236E-9</v>
      </c>
      <c r="E19" s="78">
        <f>Cálculos!L20*Cálculos!M12</f>
        <v>1.8438294702118938E-9</v>
      </c>
      <c r="F19" s="78">
        <f>Cálculos!L20*Cálculos!M13</f>
        <v>2.7919066505032795E-10</v>
      </c>
      <c r="G19" s="78">
        <f>Cálculos!L20*Cálculos!M14</f>
        <v>2.8183165782783103E-11</v>
      </c>
      <c r="H19" s="78">
        <f>Cálculos!L20*Cálculos!M15</f>
        <v>2.1337322472708417E-12</v>
      </c>
      <c r="I19" s="78">
        <f>Cálculos!L20*Cálculos!M16</f>
        <v>1.292349720576745E-13</v>
      </c>
      <c r="J19" s="78">
        <f>Cálculos!L20*Cálculos!M17</f>
        <v>6.5228732518299203E-15</v>
      </c>
      <c r="K19" s="78">
        <f>Cálculos!L20*Cálculos!M18</f>
        <v>2.8219611886777702E-16</v>
      </c>
      <c r="L19" s="100">
        <f>Cálculos!L20*Cálculos!M19</f>
        <v>1.0682457810518383E-17</v>
      </c>
      <c r="M19" s="103">
        <f>Cálculos!L20*Cálculos!M20</f>
        <v>3.5945026957014551E-19</v>
      </c>
      <c r="N19" s="98">
        <f>Cálculos!L20*Cálculos!M21</f>
        <v>1.0885514244685081E-20</v>
      </c>
      <c r="R19" s="145" t="s">
        <v>77</v>
      </c>
      <c r="S19" s="146"/>
      <c r="T19" s="90">
        <f>Cálculos!C40</f>
        <v>0.33648648648648649</v>
      </c>
      <c r="U19" s="91">
        <f>Cálculos!D40</f>
        <v>0.2656</v>
      </c>
      <c r="V19"/>
      <c r="Y19"/>
      <c r="Z19"/>
      <c r="AA19" s="142" t="s">
        <v>98</v>
      </c>
      <c r="AB19" s="140"/>
      <c r="AC19" s="140" t="s">
        <v>99</v>
      </c>
      <c r="AD19" s="141"/>
    </row>
    <row r="20" spans="1:33" ht="15.75" thickBot="1">
      <c r="B20" s="164"/>
      <c r="C20" s="67">
        <v>10</v>
      </c>
      <c r="D20" s="85">
        <f>Cálculos!L21*Cálculos!M11</f>
        <v>3.395924144248039E-10</v>
      </c>
      <c r="E20" s="79">
        <f>Cálculos!L21*Cálculos!M12</f>
        <v>1.0284143253053856E-10</v>
      </c>
      <c r="F20" s="79">
        <f>Cálculos!L21*Cálculos!M13</f>
        <v>1.5572138533847088E-11</v>
      </c>
      <c r="G20" s="79">
        <f>Cálculos!L21*Cálculos!M14</f>
        <v>1.5719442547005101E-12</v>
      </c>
      <c r="H20" s="79">
        <f>Cálculos!L21*Cálculos!M15</f>
        <v>1.1901104982377843E-13</v>
      </c>
      <c r="I20" s="79">
        <f>Cálculos!L21*Cálculos!M16</f>
        <v>7.2082098014888508E-15</v>
      </c>
      <c r="J20" s="79">
        <f>Cálculos!L21*Cálculos!M17</f>
        <v>3.6381977849406557E-16</v>
      </c>
      <c r="K20" s="79">
        <f>Cálculos!L21*Cálculos!M18</f>
        <v>1.5739770725969129E-17</v>
      </c>
      <c r="L20" s="79">
        <f>Cálculos!L21*Cálculos!M19</f>
        <v>5.9582476683947314E-19</v>
      </c>
      <c r="M20" s="101">
        <f>Cálculos!L21*Cálculos!M20</f>
        <v>2.0048698235544432E-20</v>
      </c>
      <c r="N20" s="103">
        <f>Cálculos!L21*Cálculos!M21</f>
        <v>6.0715044251155488E-22</v>
      </c>
      <c r="R20" s="168" t="s">
        <v>78</v>
      </c>
      <c r="S20" s="169"/>
      <c r="T20" s="92">
        <f>Cálculos!C41</f>
        <v>0.55775999999999992</v>
      </c>
      <c r="U20" s="93">
        <f>Cálculos!D41</f>
        <v>0.3028378378378378</v>
      </c>
      <c r="V20"/>
      <c r="Y20"/>
      <c r="Z20"/>
      <c r="AA20" s="136">
        <f>SUM(D10:D20,E11:E20,F12:F20,G13:G20,H14:H20,I15:I20,J16:J20,K17:K20,L18:L20,M19:M20,N20)</f>
        <v>0.83808976722971695</v>
      </c>
      <c r="AB20" s="137"/>
      <c r="AC20" s="138">
        <f>SUM(D10:N10,E11:N11,F12:N12,G13:N13,H14:N14,I15:N15,J16:N16,K17:N17,L18:N18,M19:N19,N20)</f>
        <v>0.65932792253866002</v>
      </c>
      <c r="AD20" s="139"/>
    </row>
    <row r="21" spans="1:33" ht="15.75" thickBot="1">
      <c r="AB21" s="143">
        <f>SUM(D10,E11,F12,G13,H14,I15,J16,K17,L18,M19,N20)</f>
        <v>0.49741711090921403</v>
      </c>
      <c r="AC21" s="144"/>
    </row>
    <row r="23" spans="1:33">
      <c r="A23" s="1"/>
      <c r="B23" s="1"/>
      <c r="C23" s="1"/>
      <c r="D23" s="1"/>
      <c r="E23" s="1"/>
      <c r="F23" s="1"/>
      <c r="G23" s="1"/>
      <c r="H23" s="1"/>
      <c r="I23" s="1"/>
      <c r="J23" s="1"/>
      <c r="K23" s="1"/>
      <c r="L23" s="1"/>
      <c r="M23" s="1"/>
      <c r="N23" s="1"/>
      <c r="O23" s="1"/>
      <c r="P23" s="1"/>
      <c r="Q23" s="1"/>
      <c r="R23" s="1"/>
      <c r="S23" s="75"/>
      <c r="T23" s="75"/>
      <c r="U23" s="75"/>
      <c r="V23" s="127"/>
      <c r="W23" s="127"/>
      <c r="X23" s="127"/>
      <c r="Y23" s="127"/>
      <c r="Z23" s="127"/>
      <c r="AA23" s="127"/>
      <c r="AB23" s="127"/>
      <c r="AC23" s="127"/>
      <c r="AD23" s="127"/>
      <c r="AE23" s="127"/>
      <c r="AF23" s="127"/>
      <c r="AG23" s="127"/>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L27" sqref="L2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99" t="s">
        <v>34</v>
      </c>
      <c r="C2" s="199"/>
    </row>
    <row r="3" spans="1:26">
      <c r="I3" s="200" t="s">
        <v>32</v>
      </c>
      <c r="J3" s="201"/>
      <c r="K3" s="201"/>
      <c r="L3" s="202" t="s">
        <v>31</v>
      </c>
      <c r="M3" s="201" t="s">
        <v>33</v>
      </c>
      <c r="N3" s="201"/>
      <c r="O3" s="204"/>
    </row>
    <row r="4" spans="1:26" ht="15.75" thickBot="1">
      <c r="I4" s="205" t="s">
        <v>38</v>
      </c>
      <c r="J4" s="206"/>
      <c r="K4" s="206"/>
      <c r="L4" s="203"/>
      <c r="M4" s="206" t="s">
        <v>43</v>
      </c>
      <c r="N4" s="206"/>
      <c r="O4" s="207"/>
    </row>
    <row r="5" spans="1:26" ht="15.75" thickBot="1">
      <c r="J5" s="196" t="s">
        <v>111</v>
      </c>
      <c r="K5" s="197"/>
      <c r="L5" s="197"/>
      <c r="M5" s="197"/>
      <c r="N5" s="198"/>
    </row>
    <row r="6" spans="1:26">
      <c r="A6" s="181" t="s">
        <v>29</v>
      </c>
      <c r="B6" s="181"/>
      <c r="C6" s="181"/>
      <c r="D6" s="181"/>
      <c r="E6" s="181"/>
      <c r="F6" s="181"/>
      <c r="G6" s="181"/>
      <c r="H6" s="181"/>
      <c r="I6" s="181"/>
      <c r="J6" s="181"/>
      <c r="K6" s="181"/>
      <c r="L6" s="181"/>
      <c r="M6" s="181"/>
      <c r="N6" s="181"/>
      <c r="O6" s="181"/>
      <c r="P6" s="181"/>
      <c r="Q6" s="181"/>
      <c r="R6" s="181"/>
      <c r="S6" s="181"/>
      <c r="T6" s="181"/>
      <c r="U6" s="181"/>
    </row>
    <row r="7" spans="1:26" ht="15.75" thickBot="1">
      <c r="A7" s="182"/>
      <c r="B7" s="182"/>
      <c r="C7" s="182"/>
      <c r="D7" s="182"/>
      <c r="E7" s="182"/>
      <c r="F7" s="182"/>
      <c r="G7" s="182"/>
      <c r="H7" s="182"/>
      <c r="I7" s="182"/>
      <c r="J7" s="182"/>
      <c r="K7" s="182"/>
      <c r="L7" s="182"/>
      <c r="M7" s="182"/>
      <c r="N7" s="182"/>
      <c r="O7" s="182"/>
      <c r="P7" s="182"/>
      <c r="Q7" s="182"/>
      <c r="R7" s="182"/>
      <c r="S7" s="182"/>
      <c r="T7" s="182"/>
      <c r="U7" s="182"/>
    </row>
    <row r="8" spans="1:26" ht="15.75" thickTop="1"/>
    <row r="9" spans="1:26" ht="15.75" thickBot="1">
      <c r="P9" s="183" t="s">
        <v>23</v>
      </c>
      <c r="Q9" s="183"/>
    </row>
    <row r="10" spans="1:26" ht="15.75" thickBot="1">
      <c r="C10" s="188" t="s">
        <v>10</v>
      </c>
      <c r="D10" s="189"/>
      <c r="H10" s="190" t="s">
        <v>14</v>
      </c>
      <c r="I10" s="191"/>
      <c r="K10" s="15"/>
      <c r="L10" s="16" t="s">
        <v>0</v>
      </c>
      <c r="M10" s="17" t="s">
        <v>1</v>
      </c>
      <c r="P10" s="14" t="s">
        <v>94</v>
      </c>
      <c r="Q10" s="14" t="s">
        <v>95</v>
      </c>
      <c r="R10" s="14" t="s">
        <v>92</v>
      </c>
      <c r="T10" s="192" t="s">
        <v>93</v>
      </c>
      <c r="U10" s="192"/>
      <c r="V10" s="192"/>
      <c r="W10" s="192"/>
      <c r="X10" s="192"/>
      <c r="Y10" s="192"/>
      <c r="Z10" s="192"/>
    </row>
    <row r="11" spans="1:26" ht="15.75" thickBot="1">
      <c r="C11" s="22" t="s">
        <v>11</v>
      </c>
      <c r="D11" s="23" t="s">
        <v>12</v>
      </c>
      <c r="E11" s="7"/>
      <c r="H11" s="30" t="s">
        <v>12</v>
      </c>
      <c r="I11" s="31" t="s">
        <v>11</v>
      </c>
      <c r="K11" s="24" t="s">
        <v>16</v>
      </c>
      <c r="L11" s="52">
        <f>((C41^0)*(2.71828^(-C41)))/FACT(0)</f>
        <v>0.5724902210578876</v>
      </c>
      <c r="M11" s="53">
        <f>((D41^0)*(2.71828^(-D41)))/FACT(0)</f>
        <v>0.73871902938927525</v>
      </c>
      <c r="P11" s="34">
        <v>7</v>
      </c>
      <c r="Q11" s="35">
        <v>8</v>
      </c>
      <c r="R11" s="110">
        <v>4</v>
      </c>
      <c r="T11" s="192"/>
      <c r="U11" s="192"/>
      <c r="V11" s="192"/>
      <c r="W11" s="192"/>
      <c r="X11" s="192"/>
      <c r="Y11" s="192"/>
      <c r="Z11" s="192"/>
    </row>
    <row r="12" spans="1:26">
      <c r="B12">
        <v>1</v>
      </c>
      <c r="C12" s="40">
        <v>3</v>
      </c>
      <c r="D12" s="41">
        <v>0</v>
      </c>
      <c r="G12">
        <v>1</v>
      </c>
      <c r="H12" s="40">
        <v>0</v>
      </c>
      <c r="I12" s="41">
        <v>1</v>
      </c>
      <c r="K12" s="24" t="s">
        <v>17</v>
      </c>
      <c r="L12" s="52">
        <f>((C41^1)*(2.71828^(-C41)))/FACT(1)</f>
        <v>0.31931214569724736</v>
      </c>
      <c r="M12" s="53">
        <f>((D41^1)*(2.71828^(-D41)))/FACT(1)</f>
        <v>0.22371207362991427</v>
      </c>
      <c r="P12" s="36">
        <v>7</v>
      </c>
      <c r="Q12" s="37">
        <v>3</v>
      </c>
      <c r="R12" s="111">
        <v>4</v>
      </c>
      <c r="T12" s="192"/>
      <c r="U12" s="192"/>
      <c r="V12" s="192"/>
      <c r="W12" s="192"/>
      <c r="X12" s="192"/>
      <c r="Y12" s="192"/>
      <c r="Z12" s="192"/>
    </row>
    <row r="13" spans="1:26">
      <c r="B13">
        <v>2</v>
      </c>
      <c r="C13" s="42">
        <v>2</v>
      </c>
      <c r="D13" s="37">
        <v>2</v>
      </c>
      <c r="G13">
        <v>2</v>
      </c>
      <c r="H13" s="42">
        <v>0</v>
      </c>
      <c r="I13" s="37">
        <v>0</v>
      </c>
      <c r="K13" s="24" t="s">
        <v>18</v>
      </c>
      <c r="L13" s="52">
        <f>((C41^2)*(2.71828^(-C41)))/FACT(2)</f>
        <v>8.9049771192048321E-2</v>
      </c>
      <c r="M13" s="53">
        <f>((D41^2)*(2.71828^(-D41)))/FACT(2)</f>
        <v>3.3874240338151201E-2</v>
      </c>
      <c r="P13" s="36">
        <v>9</v>
      </c>
      <c r="Q13" s="37">
        <v>5</v>
      </c>
      <c r="R13" s="111">
        <v>5</v>
      </c>
      <c r="T13" s="192"/>
      <c r="U13" s="192"/>
      <c r="V13" s="192"/>
      <c r="W13" s="192"/>
      <c r="X13" s="192"/>
      <c r="Y13" s="192"/>
      <c r="Z13" s="192"/>
    </row>
    <row r="14" spans="1:26">
      <c r="B14">
        <v>3</v>
      </c>
      <c r="C14" s="42">
        <v>0</v>
      </c>
      <c r="D14" s="37">
        <v>0</v>
      </c>
      <c r="G14">
        <v>3</v>
      </c>
      <c r="H14" s="42">
        <v>2</v>
      </c>
      <c r="I14" s="37">
        <v>1</v>
      </c>
      <c r="K14" s="24" t="s">
        <v>19</v>
      </c>
      <c r="L14" s="52">
        <f>((C41^3)*(2.71828^(-C41)))/FACT(3)</f>
        <v>1.6556133460025619E-2</v>
      </c>
      <c r="M14" s="53">
        <f>((D41^3)*(2.71828^(-D41)))/FACT(3)</f>
        <v>3.4194672341349929E-3</v>
      </c>
      <c r="P14" s="36">
        <v>7</v>
      </c>
      <c r="Q14" s="37">
        <v>7</v>
      </c>
      <c r="R14" s="111">
        <v>5</v>
      </c>
    </row>
    <row r="15" spans="1:26">
      <c r="B15">
        <v>4</v>
      </c>
      <c r="C15" s="42">
        <v>1</v>
      </c>
      <c r="D15" s="37">
        <v>0</v>
      </c>
      <c r="G15">
        <v>4</v>
      </c>
      <c r="H15" s="42">
        <v>0</v>
      </c>
      <c r="I15" s="37">
        <v>1</v>
      </c>
      <c r="K15" s="24" t="s">
        <v>21</v>
      </c>
      <c r="L15" s="52">
        <f>((C41^4)*(2.71828^(-C41)))/FACT(4)</f>
        <v>2.3085872496659723E-3</v>
      </c>
      <c r="M15" s="53">
        <f>((D41^4)*(2.71828^(-D41)))/FACT(4)</f>
        <v>2.5888601593569314E-4</v>
      </c>
      <c r="P15" s="36">
        <v>7</v>
      </c>
      <c r="Q15" s="37">
        <v>6</v>
      </c>
      <c r="R15" s="111">
        <v>4</v>
      </c>
    </row>
    <row r="16" spans="1:26">
      <c r="B16">
        <v>5</v>
      </c>
      <c r="C16" s="42"/>
      <c r="D16" s="37"/>
      <c r="G16">
        <v>5</v>
      </c>
      <c r="H16" s="42"/>
      <c r="I16" s="37"/>
      <c r="K16" s="24" t="s">
        <v>20</v>
      </c>
      <c r="L16" s="52">
        <f>((C41^5)*(2.71828^(-C41)))/FACT(5)</f>
        <v>2.5752752487473852E-4</v>
      </c>
      <c r="M16" s="53">
        <f>((D41^5)*(2.71828^(-D41)))/FACT(5)</f>
        <v>1.5680096262483467E-5</v>
      </c>
      <c r="P16" s="36">
        <v>5</v>
      </c>
      <c r="Q16" s="37">
        <v>4</v>
      </c>
      <c r="R16" s="111">
        <v>4</v>
      </c>
    </row>
    <row r="17" spans="2:18">
      <c r="B17">
        <v>6</v>
      </c>
      <c r="C17" s="42"/>
      <c r="D17" s="37"/>
      <c r="G17">
        <v>6</v>
      </c>
      <c r="H17" s="42"/>
      <c r="I17" s="37"/>
      <c r="K17" s="69" t="s">
        <v>22</v>
      </c>
      <c r="L17" s="70">
        <f>((C41^6)*(2.71828^(-C41)))/FACT(6)</f>
        <v>2.3939758712355684E-5</v>
      </c>
      <c r="M17" s="71">
        <f>((D41^6)*(2.71828^(-D41)))/FACT(6)</f>
        <v>7.9142107486994239E-7</v>
      </c>
      <c r="P17" s="36">
        <v>7</v>
      </c>
      <c r="Q17" s="37">
        <v>7</v>
      </c>
      <c r="R17" s="111">
        <v>4</v>
      </c>
    </row>
    <row r="18" spans="2:18">
      <c r="B18">
        <v>7</v>
      </c>
      <c r="C18" s="42"/>
      <c r="D18" s="37"/>
      <c r="G18">
        <v>7</v>
      </c>
      <c r="H18" s="42"/>
      <c r="I18" s="37"/>
      <c r="K18" s="72" t="s">
        <v>82</v>
      </c>
      <c r="L18" s="52">
        <f>((C41^7)*(2.71828^(-C41)))/FACT(7)</f>
        <v>1.9075199742005009E-6</v>
      </c>
      <c r="M18" s="53">
        <f>((D41^7)*(2.71828^(-D41)))/FACT(7)</f>
        <v>3.4238892447558702E-8</v>
      </c>
      <c r="P18" s="36">
        <v>10</v>
      </c>
      <c r="Q18" s="37">
        <v>6</v>
      </c>
      <c r="R18" s="111">
        <v>4</v>
      </c>
    </row>
    <row r="19" spans="2:18">
      <c r="B19">
        <v>8</v>
      </c>
      <c r="C19" s="42"/>
      <c r="D19" s="37"/>
      <c r="G19">
        <v>8</v>
      </c>
      <c r="H19" s="42"/>
      <c r="I19" s="37"/>
      <c r="K19" s="72" t="s">
        <v>83</v>
      </c>
      <c r="L19" s="52">
        <f>((C41^8)*(2.71828^(-C41)))/FACT(8)</f>
        <v>1.329922926012589E-7</v>
      </c>
      <c r="M19" s="53">
        <f>((D41^8)*(2.71828^(-D41)))/FACT(8)</f>
        <v>1.2961040198476189E-9</v>
      </c>
      <c r="P19" s="36">
        <v>7</v>
      </c>
      <c r="Q19" s="37">
        <v>4</v>
      </c>
      <c r="R19" s="111">
        <v>4</v>
      </c>
    </row>
    <row r="20" spans="2:18">
      <c r="B20">
        <v>9</v>
      </c>
      <c r="C20" s="42"/>
      <c r="D20" s="37"/>
      <c r="G20">
        <v>9</v>
      </c>
      <c r="H20" s="42"/>
      <c r="I20" s="37"/>
      <c r="K20" s="72" t="s">
        <v>84</v>
      </c>
      <c r="L20" s="52">
        <f>((C41^9)*(2.71828^(-C41)))/FACT(9)</f>
        <v>8.2419756801420181E-9</v>
      </c>
      <c r="M20" s="53">
        <f>((D41^9)*(2.71828^(-D41)))/FACT(9)</f>
        <v>4.3612148775953657E-11</v>
      </c>
      <c r="P20" s="36">
        <v>4</v>
      </c>
      <c r="Q20" s="37">
        <v>1</v>
      </c>
      <c r="R20" s="111">
        <v>4</v>
      </c>
    </row>
    <row r="21" spans="2:18" ht="15.75" thickBot="1">
      <c r="B21">
        <v>10</v>
      </c>
      <c r="C21" s="42"/>
      <c r="D21" s="37"/>
      <c r="G21">
        <v>10</v>
      </c>
      <c r="H21" s="42"/>
      <c r="I21" s="37"/>
      <c r="K21" s="73" t="s">
        <v>85</v>
      </c>
      <c r="L21" s="50">
        <f>((C41^10)*(2.71828^(-C41)))/FACT(10)</f>
        <v>4.5970443553560108E-10</v>
      </c>
      <c r="M21" s="51">
        <f>((D41^10)*(2.71828^(-D41)))/FACT(10)</f>
        <v>1.3207408838771908E-12</v>
      </c>
      <c r="P21" s="36">
        <v>6</v>
      </c>
      <c r="Q21" s="37">
        <v>5</v>
      </c>
      <c r="R21" s="111">
        <v>5</v>
      </c>
    </row>
    <row r="22" spans="2:18">
      <c r="B22">
        <v>11</v>
      </c>
      <c r="C22" s="42"/>
      <c r="D22" s="37"/>
      <c r="G22">
        <v>11</v>
      </c>
      <c r="H22" s="42"/>
      <c r="I22" s="37"/>
      <c r="P22" s="36">
        <v>7</v>
      </c>
      <c r="Q22" s="37">
        <v>3</v>
      </c>
      <c r="R22" s="111">
        <v>4</v>
      </c>
    </row>
    <row r="23" spans="2:18" ht="15.75" thickBot="1">
      <c r="B23">
        <v>12</v>
      </c>
      <c r="C23" s="42"/>
      <c r="D23" s="37"/>
      <c r="G23">
        <v>12</v>
      </c>
      <c r="H23" s="42"/>
      <c r="I23" s="37"/>
      <c r="P23" s="36">
        <v>7</v>
      </c>
      <c r="Q23" s="37">
        <v>0</v>
      </c>
      <c r="R23" s="111">
        <v>4</v>
      </c>
    </row>
    <row r="24" spans="2:18">
      <c r="B24">
        <v>13</v>
      </c>
      <c r="C24" s="42"/>
      <c r="D24" s="37"/>
      <c r="G24">
        <v>13</v>
      </c>
      <c r="H24" s="42"/>
      <c r="I24" s="37"/>
      <c r="K24" s="193" t="s">
        <v>100</v>
      </c>
      <c r="L24" s="194"/>
      <c r="M24" s="195"/>
      <c r="P24" s="36">
        <v>6</v>
      </c>
      <c r="Q24" s="37">
        <v>2</v>
      </c>
      <c r="R24" s="111">
        <v>3</v>
      </c>
    </row>
    <row r="25" spans="2:18">
      <c r="B25">
        <v>14</v>
      </c>
      <c r="C25" s="42"/>
      <c r="D25" s="37"/>
      <c r="G25">
        <v>14</v>
      </c>
      <c r="H25" s="42"/>
      <c r="I25" s="37"/>
      <c r="K25" s="118" t="s">
        <v>105</v>
      </c>
      <c r="L25" s="119" t="s">
        <v>101</v>
      </c>
      <c r="M25" s="120" t="s">
        <v>102</v>
      </c>
      <c r="P25" s="36">
        <v>9</v>
      </c>
      <c r="Q25" s="37">
        <v>5</v>
      </c>
      <c r="R25" s="111">
        <v>5</v>
      </c>
    </row>
    <row r="26" spans="2:18">
      <c r="B26">
        <v>15</v>
      </c>
      <c r="C26" s="42"/>
      <c r="D26" s="37"/>
      <c r="G26">
        <v>15</v>
      </c>
      <c r="H26" s="42"/>
      <c r="I26" s="37"/>
      <c r="K26" s="121" t="s">
        <v>103</v>
      </c>
      <c r="L26" s="123">
        <v>4</v>
      </c>
      <c r="M26" s="124">
        <v>0</v>
      </c>
      <c r="P26" s="36">
        <v>5</v>
      </c>
      <c r="Q26" s="37">
        <v>2</v>
      </c>
      <c r="R26" s="111">
        <v>4</v>
      </c>
    </row>
    <row r="27" spans="2:18" ht="15.75" thickBot="1">
      <c r="B27">
        <v>16</v>
      </c>
      <c r="C27" s="43"/>
      <c r="D27" s="39"/>
      <c r="G27">
        <v>16</v>
      </c>
      <c r="H27" s="43"/>
      <c r="I27" s="39"/>
      <c r="K27" s="122" t="s">
        <v>104</v>
      </c>
      <c r="L27" s="125">
        <v>2</v>
      </c>
      <c r="M27" s="126">
        <v>0</v>
      </c>
      <c r="P27" s="36">
        <v>5</v>
      </c>
      <c r="Q27" s="37">
        <v>2</v>
      </c>
      <c r="R27" s="111">
        <v>4</v>
      </c>
    </row>
    <row r="28" spans="2:18">
      <c r="B28">
        <v>17</v>
      </c>
      <c r="C28" s="43"/>
      <c r="D28" s="39"/>
      <c r="G28">
        <v>17</v>
      </c>
      <c r="H28" s="43"/>
      <c r="I28" s="39"/>
      <c r="P28" s="36">
        <v>7</v>
      </c>
      <c r="Q28" s="37">
        <v>3</v>
      </c>
      <c r="R28" s="111">
        <v>4</v>
      </c>
    </row>
    <row r="29" spans="2:18">
      <c r="B29">
        <v>18</v>
      </c>
      <c r="C29" s="43"/>
      <c r="D29" s="39"/>
      <c r="G29">
        <v>18</v>
      </c>
      <c r="H29" s="43"/>
      <c r="I29" s="39"/>
      <c r="P29" s="36">
        <v>2</v>
      </c>
      <c r="Q29" s="37">
        <v>1</v>
      </c>
      <c r="R29" s="111">
        <v>4</v>
      </c>
    </row>
    <row r="30" spans="2:18" ht="15.75" thickBot="1">
      <c r="B30">
        <v>19</v>
      </c>
      <c r="C30" s="44"/>
      <c r="D30" s="45"/>
      <c r="G30">
        <v>19</v>
      </c>
      <c r="H30" s="43"/>
      <c r="I30" s="39"/>
      <c r="P30" s="36">
        <v>1</v>
      </c>
      <c r="Q30" s="37">
        <v>0</v>
      </c>
      <c r="R30" s="111">
        <v>4</v>
      </c>
    </row>
    <row r="31" spans="2:18" ht="15.75" thickBot="1">
      <c r="B31" s="14" t="s">
        <v>13</v>
      </c>
      <c r="C31" s="8">
        <f>SUM(C12:C30)</f>
        <v>6</v>
      </c>
      <c r="D31" s="9">
        <f>SUM(D12:D30)</f>
        <v>2</v>
      </c>
      <c r="G31" s="27" t="s">
        <v>13</v>
      </c>
      <c r="H31" s="28">
        <f>SUM(H12:H30)</f>
        <v>2</v>
      </c>
      <c r="I31" s="29">
        <f>SUM(I12:I30)</f>
        <v>3</v>
      </c>
      <c r="P31" s="36"/>
      <c r="Q31" s="37"/>
      <c r="R31" s="111"/>
    </row>
    <row r="32" spans="2:18" ht="15.75" thickBot="1">
      <c r="B32" s="14" t="s">
        <v>15</v>
      </c>
      <c r="C32" s="10">
        <f>COUNT(C12:C30)</f>
        <v>4</v>
      </c>
      <c r="G32" s="14" t="s">
        <v>15</v>
      </c>
      <c r="H32" s="26">
        <f>COUNT(H12:H30)</f>
        <v>4</v>
      </c>
      <c r="P32" s="36"/>
      <c r="Q32" s="37"/>
      <c r="R32" s="111"/>
    </row>
    <row r="33" spans="1:21">
      <c r="P33" s="36"/>
      <c r="Q33" s="37"/>
      <c r="R33" s="111"/>
    </row>
    <row r="34" spans="1:21">
      <c r="B34" s="183" t="s">
        <v>5</v>
      </c>
      <c r="C34" s="183"/>
      <c r="D34" s="183"/>
      <c r="E34" s="183"/>
      <c r="G34" s="183" t="s">
        <v>6</v>
      </c>
      <c r="H34" s="183"/>
      <c r="I34" s="183"/>
      <c r="J34" s="183"/>
      <c r="P34" s="36"/>
      <c r="Q34" s="37"/>
      <c r="R34" s="111"/>
    </row>
    <row r="35" spans="1:21">
      <c r="B35" s="158" t="s">
        <v>2</v>
      </c>
      <c r="C35" s="159"/>
      <c r="D35" s="11" t="s">
        <v>4</v>
      </c>
      <c r="E35" s="3">
        <f>C31/C32*(1+L26/10)*(1-M26/10)</f>
        <v>2.0999999999999996</v>
      </c>
      <c r="G35" s="158" t="s">
        <v>2</v>
      </c>
      <c r="H35" s="159"/>
      <c r="I35" s="11" t="s">
        <v>4</v>
      </c>
      <c r="J35" s="3">
        <f>I31/H32*(1+L27/10)*(1-M27/10)</f>
        <v>0.89999999999999991</v>
      </c>
      <c r="P35" s="36"/>
      <c r="Q35" s="37"/>
      <c r="R35" s="111"/>
    </row>
    <row r="36" spans="1:21" ht="15.75" thickBot="1">
      <c r="B36" s="160" t="s">
        <v>3</v>
      </c>
      <c r="C36" s="161"/>
      <c r="D36" s="12" t="s">
        <v>4</v>
      </c>
      <c r="E36" s="2">
        <f>D31/C32*(1-L26/10)*(1+M26/10)</f>
        <v>0.3</v>
      </c>
      <c r="G36" s="160" t="s">
        <v>3</v>
      </c>
      <c r="H36" s="161"/>
      <c r="I36" s="12" t="s">
        <v>4</v>
      </c>
      <c r="J36" s="2">
        <f>H31/H32*(1-L27/10)*(1+M27/10)</f>
        <v>0.4</v>
      </c>
      <c r="P36" s="36"/>
      <c r="Q36" s="37"/>
      <c r="R36" s="111"/>
    </row>
    <row r="37" spans="1:21" ht="15.75" thickBot="1">
      <c r="P37" s="38"/>
      <c r="Q37" s="39"/>
      <c r="R37" s="112"/>
    </row>
    <row r="38" spans="1:21" ht="15.75" thickBot="1">
      <c r="B38" s="60"/>
      <c r="C38" s="61" t="s">
        <v>0</v>
      </c>
      <c r="D38" s="62" t="s">
        <v>1</v>
      </c>
      <c r="O38" s="114" t="s">
        <v>24</v>
      </c>
      <c r="P38" s="13">
        <f>SUM(P11:P37)</f>
        <v>125</v>
      </c>
      <c r="Q38" s="113">
        <f>SUM(Q11:Q37)</f>
        <v>74</v>
      </c>
    </row>
    <row r="39" spans="1:21" ht="15.75" thickBot="1">
      <c r="B39" s="63" t="s">
        <v>27</v>
      </c>
      <c r="C39" s="64">
        <f>E35/P41</f>
        <v>1.3943999999999996</v>
      </c>
      <c r="D39" s="65">
        <f>J35/Q41</f>
        <v>1.0094594594594595</v>
      </c>
      <c r="I39" t="s">
        <v>108</v>
      </c>
      <c r="K39" t="s">
        <v>109</v>
      </c>
      <c r="O39" s="14" t="s">
        <v>25</v>
      </c>
      <c r="P39" s="184">
        <f>SUM(R11:R37)</f>
        <v>83</v>
      </c>
      <c r="Q39" s="185"/>
    </row>
    <row r="40" spans="1:21" ht="15.75" thickBot="1">
      <c r="B40" s="18" t="s">
        <v>77</v>
      </c>
      <c r="C40" s="20">
        <f>E36/Q41</f>
        <v>0.33648648648648649</v>
      </c>
      <c r="D40" s="21">
        <f>J36/P41</f>
        <v>0.2656</v>
      </c>
      <c r="E40" t="s">
        <v>106</v>
      </c>
      <c r="I40" t="s">
        <v>107</v>
      </c>
      <c r="O40" s="14" t="s">
        <v>26</v>
      </c>
      <c r="P40" s="186">
        <f>COUNT(P11:P37)</f>
        <v>20</v>
      </c>
      <c r="Q40" s="187"/>
    </row>
    <row r="41" spans="1:21" ht="15.75" thickBot="1">
      <c r="B41" s="18" t="s">
        <v>78</v>
      </c>
      <c r="C41" s="20">
        <f>C39*D40*P41</f>
        <v>0.55775999999999992</v>
      </c>
      <c r="D41" s="21">
        <f>C40*D39*Q41</f>
        <v>0.3028378378378378</v>
      </c>
      <c r="O41" s="14" t="s">
        <v>35</v>
      </c>
      <c r="P41" s="19">
        <f>P38/(P39)</f>
        <v>1.5060240963855422</v>
      </c>
      <c r="Q41" s="113">
        <f>Q38/(P39)</f>
        <v>0.89156626506024095</v>
      </c>
    </row>
    <row r="43" spans="1:21">
      <c r="A43" s="181" t="s">
        <v>30</v>
      </c>
      <c r="B43" s="181"/>
      <c r="C43" s="181"/>
      <c r="D43" s="181"/>
      <c r="E43" s="181"/>
      <c r="F43" s="181"/>
      <c r="G43" s="181"/>
      <c r="H43" s="181"/>
      <c r="I43" s="181"/>
      <c r="J43" s="181"/>
      <c r="K43" s="181"/>
      <c r="L43" s="181"/>
      <c r="M43" s="181"/>
      <c r="N43" s="181"/>
      <c r="O43" s="181"/>
      <c r="P43" s="181"/>
      <c r="Q43" s="181"/>
      <c r="R43" s="181"/>
      <c r="S43" s="181"/>
      <c r="T43" s="181"/>
      <c r="U43" s="181"/>
    </row>
    <row r="44" spans="1:21" ht="15.75" thickBot="1">
      <c r="A44" s="182"/>
      <c r="B44" s="182"/>
      <c r="C44" s="182"/>
      <c r="D44" s="182"/>
      <c r="E44" s="182"/>
      <c r="F44" s="182"/>
      <c r="G44" s="182"/>
      <c r="H44" s="182"/>
      <c r="I44" s="182"/>
      <c r="J44" s="182"/>
      <c r="K44" s="182"/>
      <c r="L44" s="182"/>
      <c r="M44" s="182"/>
      <c r="N44" s="182"/>
      <c r="O44" s="182"/>
      <c r="P44" s="182"/>
      <c r="Q44" s="182"/>
      <c r="R44" s="182"/>
      <c r="S44" s="182"/>
      <c r="T44" s="182"/>
      <c r="U44" s="182"/>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2018-06-03T17:18:57Z</dcterms:modified>
</cp:coreProperties>
</file>