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C20" l="1"/>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<sst xmlns="http://schemas.openxmlformats.org/spreadsheetml/2006/main" count="151" uniqueCount="106">
  <si>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</si>
  <si>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</si>
  <si>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</si>
  <si>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</si>
  <si>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</si>
  <si>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</si>
  <si>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</si>
  <si>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</si>
  <si>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</si>
  <si>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</si>
  <si>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</si>
  <si>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</si>
  <si>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</si>
  <si>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</si>
  <si>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</si>
  <si>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</si>
  <si>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</si>
  <si>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</si>
  <si>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</si>
  <si>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</si>
  <si>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</si>
  <si>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</si>
  <si>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</si>
  <si>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</si>
  <si>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</si>
  <si>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</si>
  <si>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</si>
  <si>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</si>
  <si>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</si>
  <si>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</si>
  <si>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</si>
  <si>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</si>
  <si>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</si>
  <si>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</si>
  <si>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</si>
  <si>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</si>
  <si>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</si>
  <si>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</si>
  <si>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</si>
  <si>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</si>
  <si>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</si>
  <si>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</si>
  <si>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</si>
  <si>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</si>
  <si>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</si>
  <si>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</si>
  <si>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</si>
  <si>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</si>
  <si>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</si>
  <si>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</si>
  <si>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</si>
  <si>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</si>
  <si>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</si>
  <si>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</si>
  <si>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</si>
  <si>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</si>
  <si>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</si>
  <si>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</si>
  <si>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</si>
  <si>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</si>
  <si>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</si>
  <si>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</si>
  <si>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</si>
  <si>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</si>
  <si>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</si>
  <si>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</si>
  <si>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</si>
  <si>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</si>
  <si>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</si>
  <si>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</si>
  <si>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</si>
  <si>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</si>
  <si>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</si>
  <si>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</si>
  <si>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</si>
  <si>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</si>
  <si>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</si>
  <si>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</si>
  <si>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</si>
  <si>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</si>
  <si>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</si>
  <si>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</si>
  <si>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</si>
  <si>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</si>
  <si>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</si>
  <si>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</si>
  <si>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</si>
  <si>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</si>
  <si>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</si>
  <si>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</si>
  <si>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</si>
  <si>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</si>
  <si>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</si>
  <si>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</si>
  <si>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</si>
  <si>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</si>
  <si>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</si>
  <si>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</si>
  <si>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</si>
  <si>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</si>
  <si>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</si>
  <si>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Timbers</t>
  </si>
  <si>
    <t>Galaxy</t>
  </si>
  <si>
    <t>Estados Unidos MLS</t>
  </si>
  <si>
    <t>1-0</t>
  </si>
  <si>
    <t>2-0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</si>
</sst>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6" sqref="AB16:AC16"/>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26</v>
      </c>
    </row>
    <row r="3" spans="1:33" ht="15.75" thickBot="1">
      <c r="F3" s="126" t="str">
        <f>Cálculos!I4</f>
        <v>Timbers</v>
      </c>
      <c r="G3" s="124"/>
      <c r="H3" s="124"/>
      <c r="I3" s="128"/>
      <c r="J3" s="124" t="str">
        <f>Cálculos!M4</f>
        <v>Galaxy</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0.43204211407714177</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2.25</v>
      </c>
      <c r="V9"/>
      <c r="W9" s="143" t="s">
        <v>2</v>
      </c>
      <c r="X9" s="144"/>
      <c r="Y9" s="11" t="s">
        <v>4</v>
      </c>
      <c r="Z9" s="86">
        <f>Cálculos!J35</f>
        <v>1.1666666666666667</v>
      </c>
      <c r="AA9"/>
      <c r="AB9" s="109" t="s">
        <v>90</v>
      </c>
      <c r="AC9" s="107">
        <f>SUM(D10:D12,E11,E10,F10)</f>
        <v>0.56795668435165225</v>
      </c>
    </row>
    <row r="10" spans="1:33" ht="15.75" customHeight="1" thickBot="1">
      <c r="B10" s="147" t="s">
        <v>80</v>
      </c>
      <c r="C10" s="94">
        <v>0</v>
      </c>
      <c r="D10" s="102">
        <f>Cálculos!L11*Cálculos!M11</f>
        <v>9.0111122466108085E-2</v>
      </c>
      <c r="E10" s="96">
        <f>Cálculos!M12*Cálculos!L11</f>
        <v>5.6429881838457381E-2</v>
      </c>
      <c r="F10" s="77">
        <f>Cálculos!M13*Cálculos!L11</f>
        <v>1.766891520799738E-2</v>
      </c>
      <c r="G10" s="77">
        <f>Cálculos!M14*Cálculos!L11</f>
        <v>3.6882416957870344E-3</v>
      </c>
      <c r="H10" s="77">
        <f>Cálculos!M15*Cálculos!L11</f>
        <v>5.7741774097646269E-4</v>
      </c>
      <c r="I10" s="77">
        <f>Cálculos!M16*Cálculos!L11</f>
        <v>7.2318741578179528E-5</v>
      </c>
      <c r="J10" s="77">
        <f>Cálculos!M17*Cálculos!L11</f>
        <v>7.5479732325264986E-6</v>
      </c>
      <c r="K10" s="77">
        <f>Cálculos!M18*Cálculos!L11</f>
        <v>6.7524760536082641E-7</v>
      </c>
      <c r="L10" s="77">
        <f>Cálculos!M19*Cálculos!L11</f>
        <v>5.2857157833851455E-8</v>
      </c>
      <c r="M10" s="77">
        <f>Cálculos!M20*Cálculos!L11</f>
        <v>3.6778332860972344E-9</v>
      </c>
      <c r="N10" s="84">
        <f>Cálculos!M21*Cálculos!L11</f>
        <v>2.3031529524456948E-10</v>
      </c>
      <c r="R10" s="145" t="s">
        <v>3</v>
      </c>
      <c r="S10" s="146"/>
      <c r="T10" s="12" t="s">
        <v>4</v>
      </c>
      <c r="U10" s="87">
        <f>Cálculos!E36</f>
        <v>0.75</v>
      </c>
      <c r="V10"/>
      <c r="W10" s="145" t="s">
        <v>3</v>
      </c>
      <c r="X10" s="146"/>
      <c r="Y10" s="12" t="s">
        <v>4</v>
      </c>
      <c r="Z10" s="87">
        <f>Cálculos!J36</f>
        <v>1.3333333333333333</v>
      </c>
      <c r="AA10"/>
    </row>
    <row r="11" spans="1:33" ht="15.75" thickBot="1">
      <c r="B11" s="148"/>
      <c r="C11" s="66">
        <v>1</v>
      </c>
      <c r="D11" s="99">
        <f>Cálculos!L12*Cálculos!M11</f>
        <v>0.16044175463477778</v>
      </c>
      <c r="E11" s="103">
        <f>Cálculos!L12*Cálculos!M12</f>
        <v>0.10047271644408264</v>
      </c>
      <c r="F11" s="97">
        <f>Cálculos!L12*Cálculos!M13</f>
        <v>3.1459288053263625E-2</v>
      </c>
      <c r="G11" s="80">
        <f>Cálculos!L12*Cálculos!M14</f>
        <v>6.5668693607915489E-3</v>
      </c>
      <c r="H11" s="80">
        <f>Cálculos!L12*Cálculos!M15</f>
        <v>1.0280852461288237E-3</v>
      </c>
      <c r="I11" s="80">
        <f>Cálculos!L12*Cálculos!M16</f>
        <v>1.2876263744407573E-4</v>
      </c>
      <c r="J11" s="80">
        <f>Cálculos!L12*Cálculos!M17</f>
        <v>1.3439074292059373E-5</v>
      </c>
      <c r="K11" s="80">
        <f>Cálculos!L12*Cálculos!M18</f>
        <v>1.2022701266180566E-6</v>
      </c>
      <c r="L11" s="80">
        <f>Cálculos!L12*Cálculos!M19</f>
        <v>9.4111524923686725E-8</v>
      </c>
      <c r="M11" s="80">
        <f>Cálculos!L12*Cálculos!M20</f>
        <v>6.5483373142706847E-9</v>
      </c>
      <c r="N11" s="81">
        <f>Cálculos!L12*Cálculos!M21</f>
        <v>4.1007357445984316E-10</v>
      </c>
      <c r="S11"/>
      <c r="T11"/>
      <c r="U11"/>
      <c r="V11"/>
      <c r="W11"/>
      <c r="X11"/>
      <c r="Y11"/>
      <c r="Z11"/>
      <c r="AA11"/>
      <c r="AB11" s="155" t="s">
        <v>91</v>
      </c>
      <c r="AC11" s="156"/>
    </row>
    <row r="12" spans="1:33" ht="15.75" customHeight="1" thickBot="1">
      <c r="B12" s="148"/>
      <c r="C12" s="66">
        <v>2</v>
      </c>
      <c r="D12" s="76">
        <f>Cálculos!L13*Cálculos!M11</f>
        <v>0.14283229376022899</v>
      </c>
      <c r="E12" s="100">
        <f>Cálculos!L13*Cálculos!M12</f>
        <v>8.9445223175829661E-2</v>
      </c>
      <c r="F12" s="103">
        <f>Cálculos!L13*Cálculos!M13</f>
        <v>2.8006439364490786E-2</v>
      </c>
      <c r="G12" s="97">
        <f>Cálculos!L13*Cálculos!M14</f>
        <v>5.8461154065583294E-3</v>
      </c>
      <c r="H12" s="80">
        <f>Cálculos!L13*Cálculos!M15</f>
        <v>9.1524662155370888E-4</v>
      </c>
      <c r="I12" s="80">
        <f>Cálculos!L13*Cálculos!M16</f>
        <v>1.146301528465552E-4</v>
      </c>
      <c r="J12" s="80">
        <f>Cálculos!L13*Cálculos!M17</f>
        <v>1.1964053942930905E-5</v>
      </c>
      <c r="K12" s="80">
        <f>Cálculos!L13*Cálculos!M18</f>
        <v>1.0703136493063187E-6</v>
      </c>
      <c r="L12" s="80">
        <f>Cálculos!L13*Cálculos!M19</f>
        <v>8.3782211212550371E-8</v>
      </c>
      <c r="M12" s="80">
        <f>Cálculos!L13*Cálculos!M20</f>
        <v>5.8296173651434142E-9</v>
      </c>
      <c r="N12" s="81">
        <f>Cálculos!L13*Cálculos!M21</f>
        <v>3.6506549921425061E-10</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8.4770385727615569E-2</v>
      </c>
      <c r="E13" s="78">
        <f>Cálculos!L14*Cálculos!M12</f>
        <v>5.3085376356386708E-2</v>
      </c>
      <c r="F13" s="100">
        <f>Cálculos!L14*Cálculos!M13</f>
        <v>1.6621707915510788E-2</v>
      </c>
      <c r="G13" s="103">
        <f>Cálculos!L14*Cálculos!M14</f>
        <v>3.4696457290955937E-3</v>
      </c>
      <c r="H13" s="97">
        <f>Cálculos!L14*Cálculos!M15</f>
        <v>5.4319514937740444E-4</v>
      </c>
      <c r="I13" s="80">
        <f>Cálculos!L14*Cálculos!M16</f>
        <v>6.8032529738199421E-5</v>
      </c>
      <c r="J13" s="80">
        <f>Cálculos!L14*Cálculos!M17</f>
        <v>7.1006173807638698E-6</v>
      </c>
      <c r="K13" s="80">
        <f>Cálculos!L14*Cálculos!M18</f>
        <v>6.3522679999480694E-7</v>
      </c>
      <c r="L13" s="80">
        <f>Cálculos!L14*Cálculos!M19</f>
        <v>4.9724401776554282E-8</v>
      </c>
      <c r="M13" s="80">
        <f>Cálculos!L14*Cálculos!M20</f>
        <v>3.4598542085810504E-9</v>
      </c>
      <c r="N13" s="81">
        <f>Cálculos!L14*Cálculos!M21</f>
        <v>2.1666488977756335E-10</v>
      </c>
      <c r="O13" s="32"/>
      <c r="R13" s="142"/>
      <c r="S13" s="104">
        <v>0</v>
      </c>
      <c r="T13" s="104">
        <v>1</v>
      </c>
      <c r="U13" s="104">
        <v>2</v>
      </c>
      <c r="V13" s="104">
        <v>3</v>
      </c>
      <c r="W13" s="104">
        <v>4</v>
      </c>
      <c r="X13" s="104">
        <v>5</v>
      </c>
      <c r="Y13" s="105">
        <v>6</v>
      </c>
      <c r="Z13"/>
      <c r="AA13" s="33"/>
      <c r="AB13" s="117">
        <f>SUM(E11:N20)</f>
        <v>0.38694851288432386</v>
      </c>
      <c r="AC13" s="107">
        <f>SUM(D10:D20,E10:N10)</f>
        <v>0.61305028554447005</v>
      </c>
    </row>
    <row r="14" spans="1:33" ht="15.75" customHeight="1" thickBot="1">
      <c r="B14" s="148"/>
      <c r="C14" s="66">
        <v>4</v>
      </c>
      <c r="D14" s="76">
        <f>Cálculos!L15*Cálculos!M11</f>
        <v>3.7733159500706923E-2</v>
      </c>
      <c r="E14" s="78">
        <f>Cálculos!L15*Cálculos!M12</f>
        <v>2.3629466304977004E-2</v>
      </c>
      <c r="F14" s="78">
        <f>Cálculos!L15*Cálculos!M13</f>
        <v>7.3986870599529716E-3</v>
      </c>
      <c r="G14" s="100">
        <f>Cálculos!L15*Cálculos!M14</f>
        <v>1.5444154769754773E-3</v>
      </c>
      <c r="H14" s="103">
        <f>Cálculos!L15*Cálculos!M15</f>
        <v>2.417880847838446E-4</v>
      </c>
      <c r="I14" s="97">
        <f>Cálculos!L15*Cálculos!M16</f>
        <v>3.0282772383466812E-5</v>
      </c>
      <c r="J14" s="80">
        <f>Cálculos!L15*Cálculos!M17</f>
        <v>3.160640663388795E-6</v>
      </c>
      <c r="K14" s="80">
        <f>Cálculos!L15*Cálculos!M18</f>
        <v>2.827533926806152E-7</v>
      </c>
      <c r="L14" s="80">
        <f>Cálculos!L15*Cálculos!M19</f>
        <v>2.2133422742002817E-8</v>
      </c>
      <c r="M14" s="80">
        <f>Cálculos!L15*Cálculos!M20</f>
        <v>1.540057056258638E-9</v>
      </c>
      <c r="N14" s="81">
        <f>Cálculos!L15*Cálculos!M21</f>
        <v>9.6442298498549523E-11</v>
      </c>
      <c r="O14" s="33"/>
      <c r="R14" s="24" t="s">
        <v>8</v>
      </c>
      <c r="S14" s="46">
        <f>Cálculos!L11</f>
        <v>0.16855610668959156</v>
      </c>
      <c r="T14" s="47">
        <f>Cálculos!L12</f>
        <v>0.30011209239854103</v>
      </c>
      <c r="U14" s="47">
        <f>Cálculos!L13</f>
        <v>0.26717296030601823</v>
      </c>
      <c r="V14" s="47">
        <f>Cálculos!L14</f>
        <v>0.15856606587267746</v>
      </c>
      <c r="W14" s="47">
        <f>Cálculos!L15</f>
        <v>7.0581236638447883E-2</v>
      </c>
      <c r="X14" s="47">
        <f>Cálculos!L16</f>
        <v>2.5133806217593636E-2</v>
      </c>
      <c r="Y14" s="48">
        <f>Cálculos!L17</f>
        <v>7.4584059100989237E-3</v>
      </c>
      <c r="Z14"/>
      <c r="AA14"/>
    </row>
    <row r="15" spans="1:33" ht="15.75" thickBot="1">
      <c r="B15" s="148"/>
      <c r="C15" s="66">
        <v>5</v>
      </c>
      <c r="D15" s="76">
        <f>Cálculos!L16*Cálculos!M11</f>
        <v>1.3436686066105392E-2</v>
      </c>
      <c r="E15" s="78">
        <f>Cálculos!L16*Cálculos!M12</f>
        <v>8.4143953183576647E-3</v>
      </c>
      <c r="F15" s="78">
        <f>Cálculos!L16*Cálculos!M13</f>
        <v>2.6346544164710583E-3</v>
      </c>
      <c r="G15" s="78">
        <f>Cálculos!L16*Cálculos!M14</f>
        <v>5.4996258448395047E-4</v>
      </c>
      <c r="H15" s="100">
        <f>Cálculos!L16*Cálculos!M15</f>
        <v>8.6100147264490999E-5</v>
      </c>
      <c r="I15" s="103">
        <f>Cálculos!L16*Cálculos!M16</f>
        <v>1.0783621385332083E-5</v>
      </c>
      <c r="J15" s="97">
        <f>Cálculos!L16*Cálculos!M17</f>
        <v>1.1254964313530831E-6</v>
      </c>
      <c r="K15" s="80">
        <f>Cálculos!L16*Cálculos!M18</f>
        <v>1.0068779349114591E-7</v>
      </c>
      <c r="L15" s="80">
        <f>Cálculos!L16*Cálculos!M19</f>
        <v>7.8816578544692949E-9</v>
      </c>
      <c r="M15" s="80">
        <f>Cálculos!L16*Cálculos!M20</f>
        <v>5.4841056149697841E-10</v>
      </c>
      <c r="N15" s="81">
        <f>Cálculos!L16*Cálculos!M21</f>
        <v>3.4342867270215196E-11</v>
      </c>
      <c r="O15" s="33"/>
      <c r="R15" s="25" t="s">
        <v>9</v>
      </c>
      <c r="S15" s="49">
        <f>Cálculos!M11</f>
        <v>0.5346060978499837</v>
      </c>
      <c r="T15" s="50">
        <f>Cálculos!M12</f>
        <v>0.33478396568791868</v>
      </c>
      <c r="U15" s="50">
        <f>Cálculos!M13</f>
        <v>0.10482512651135199</v>
      </c>
      <c r="V15" s="50">
        <f>Cálculos!M14</f>
        <v>2.1881388744812446E-2</v>
      </c>
      <c r="W15" s="50">
        <f>Cálculos!M15</f>
        <v>3.4256708482227811E-3</v>
      </c>
      <c r="X15" s="50">
        <f>Cálculos!M16</f>
        <v>4.2904848123574539E-4</v>
      </c>
      <c r="Y15" s="51">
        <f>Cálculos!M17</f>
        <v>4.4780182579956269E-5</v>
      </c>
      <c r="Z15"/>
      <c r="AA15" s="33"/>
      <c r="AB15" s="161" t="s">
        <v>86</v>
      </c>
      <c r="AC15" s="162"/>
    </row>
    <row r="16" spans="1:33" ht="15.75" thickBot="1">
      <c r="B16" s="148"/>
      <c r="C16" s="66">
        <v>6</v>
      </c>
      <c r="D16" s="76">
        <f>Cálculos!L17*Cálculos!M11</f>
        <v>3.987309279779242E-3</v>
      </c>
      <c r="E16" s="78">
        <f>Cálculos!L17*Cálculos!M12</f>
        <v>2.4969547082931282E-3</v>
      </c>
      <c r="F16" s="78">
        <f>Cálculos!L17*Cálculos!M13</f>
        <v>7.8182834309913508E-4</v>
      </c>
      <c r="G16" s="78">
        <f>Cálculos!L17*Cálculos!M14</f>
        <v>1.632002791354812E-4</v>
      </c>
      <c r="H16" s="78">
        <f>Cálculos!L17*Cálculos!M15</f>
        <v>2.5550043700438383E-5</v>
      </c>
      <c r="I16" s="100">
        <f>Cálculos!L17*Cálculos!M16</f>
        <v>3.2000177281676505E-6</v>
      </c>
      <c r="J16" s="103">
        <f>Cálculos!L17*Cálculos!M17</f>
        <v>3.3398877840965473E-7</v>
      </c>
      <c r="K16" s="97">
        <f>Cálculos!L17*Cálculos!M18</f>
        <v>2.9878898068510777E-8</v>
      </c>
      <c r="L16" s="80">
        <f>Cálculos!L17*Cálculos!M19</f>
        <v>2.3388659486839777E-9</v>
      </c>
      <c r="M16" s="80">
        <f>Cálculos!L17*Cálculos!M20</f>
        <v>1.6273971946861552E-10</v>
      </c>
      <c r="N16" s="81">
        <f>Cálculos!L17*Cálculos!M21</f>
        <v>1.0191176059860605E-11</v>
      </c>
      <c r="O16" s="33"/>
      <c r="S16"/>
      <c r="T16"/>
      <c r="U16"/>
      <c r="V16"/>
      <c r="W16"/>
      <c r="X16"/>
      <c r="Y16"/>
      <c r="Z16"/>
      <c r="AA16"/>
      <c r="AB16" s="159" t="s">
        <v>104</v>
      </c>
      <c r="AC16" s="160"/>
    </row>
    <row r="17" spans="1:33" ht="15.75" customHeight="1" thickBot="1">
      <c r="B17" s="148"/>
      <c r="C17" s="66">
        <v>7</v>
      </c>
      <c r="D17" s="76">
        <f>Cálculos!L18*Cálculos!M11</f>
        <v>1.0141936495605738E-3</v>
      </c>
      <c r="E17" s="78">
        <f>Cálculos!L18*Cálculos!M12</f>
        <v>6.3511391534982E-4</v>
      </c>
      <c r="F17" s="78">
        <f>Cálculos!L18*Cálculos!M13</f>
        <v>1.9886226148514585E-4</v>
      </c>
      <c r="G17" s="78">
        <f>Cálculos!L18*Cálculos!M14</f>
        <v>4.1510872393345397E-5</v>
      </c>
      <c r="H17" s="78">
        <f>Cálculos!L18*Cálculos!M15</f>
        <v>6.4987916032473934E-6</v>
      </c>
      <c r="I17" s="78">
        <f>Cálculos!L18*Cálculos!M16</f>
        <v>8.1394179148515149E-7</v>
      </c>
      <c r="J17" s="100">
        <f>Cálculos!L18*Cálculos!M17</f>
        <v>8.4951849560643882E-8</v>
      </c>
      <c r="K17" s="103">
        <f>Cálculos!L18*Cálculos!M18</f>
        <v>7.5998590905968176E-9</v>
      </c>
      <c r="L17" s="97">
        <f>Cálculos!L18*Cálculos!M19</f>
        <v>5.9490318555376434E-10</v>
      </c>
      <c r="M17" s="80">
        <f>Cálculos!L18*Cálculos!M20</f>
        <v>4.1393726554734956E-11</v>
      </c>
      <c r="N17" s="81">
        <f>Cálculos!L18*Cálculos!M21</f>
        <v>2.5921806702781331E-12</v>
      </c>
      <c r="R17" s="131"/>
      <c r="S17" s="132"/>
      <c r="T17" s="88" t="s">
        <v>88</v>
      </c>
      <c r="U17" s="89" t="s">
        <v>87</v>
      </c>
      <c r="V17"/>
      <c r="Y17"/>
      <c r="AB17" s="157" t="s">
        <v>105</v>
      </c>
      <c r="AC17" s="158"/>
    </row>
    <row r="18" spans="1:33" ht="15.75" thickBot="1">
      <c r="B18" s="148"/>
      <c r="C18" s="66">
        <v>8</v>
      </c>
      <c r="D18" s="76">
        <f>Cálculos!L19*Cálculos!M11</f>
        <v>2.2571992810342033E-4</v>
      </c>
      <c r="E18" s="78">
        <f>Cálculos!L19*Cálculos!M12</f>
        <v>1.4135157262358796E-4</v>
      </c>
      <c r="F18" s="78">
        <f>Cálculos!L19*Cálculos!M13</f>
        <v>4.4258978928096478E-5</v>
      </c>
      <c r="G18" s="78">
        <f>Cálculos!L19*Cálculos!M14</f>
        <v>9.2387002582750401E-6</v>
      </c>
      <c r="H18" s="78">
        <f>Cálculos!L19*Cálculos!M15</f>
        <v>1.4463773995032306E-6</v>
      </c>
      <c r="I18" s="78">
        <f>Cálculos!L19*Cálculos!M16</f>
        <v>1.8115167920248797E-7</v>
      </c>
      <c r="J18" s="78">
        <f>Cálculos!L19*Cálculos!M17</f>
        <v>1.8906966518070127E-8</v>
      </c>
      <c r="K18" s="100">
        <f>Cálculos!L19*Cálculos!M18</f>
        <v>1.691432053699901E-9</v>
      </c>
      <c r="L18" s="103">
        <f>Cálculos!L19*Cálculos!M19</f>
        <v>1.3240223337019752E-10</v>
      </c>
      <c r="M18" s="97">
        <f>Cálculos!L19*Cálculos!M20</f>
        <v>9.2126281661452794E-12</v>
      </c>
      <c r="N18" s="81">
        <f>Cálculos!L19*Cálculos!M21</f>
        <v>5.7691825893385266E-13</v>
      </c>
      <c r="R18" s="129" t="s">
        <v>27</v>
      </c>
      <c r="S18" s="130"/>
      <c r="T18" s="90">
        <f>Cálculos!C39</f>
        <v>1.3353658536585364</v>
      </c>
      <c r="U18" s="91">
        <f>Cálculos!D39</f>
        <v>0.83496732026143794</v>
      </c>
      <c r="V18"/>
      <c r="Y18"/>
    </row>
    <row r="19" spans="1:33" ht="15.75" thickBot="1">
      <c r="B19" s="148"/>
      <c r="C19" s="66">
        <v>9</v>
      </c>
      <c r="D19" s="76">
        <f>Cálculos!L20*Cálculos!M11</f>
        <v>4.4654619922898866E-5</v>
      </c>
      <c r="E19" s="78">
        <f>Cálculos!L20*Cálculos!M12</f>
        <v>2.7963861250736913E-5</v>
      </c>
      <c r="F19" s="78">
        <f>Cálculos!L20*Cálculos!M13</f>
        <v>8.7558413597589236E-6</v>
      </c>
      <c r="G19" s="78">
        <f>Cálculos!L20*Cálculos!M14</f>
        <v>1.8277103491980431E-6</v>
      </c>
      <c r="H19" s="78">
        <f>Cálculos!L20*Cálculos!M15</f>
        <v>2.8613970234074751E-7</v>
      </c>
      <c r="I19" s="78">
        <f>Cálculos!L20*Cálculos!M16</f>
        <v>3.5837595072578918E-8</v>
      </c>
      <c r="J19" s="78">
        <f>Cálculos!L20*Cálculos!M17</f>
        <v>3.7404025902957156E-9</v>
      </c>
      <c r="K19" s="78">
        <f>Cálculos!L20*Cálculos!M18</f>
        <v>3.3461934937694515E-10</v>
      </c>
      <c r="L19" s="100">
        <f>Cálculos!L20*Cálculos!M19</f>
        <v>2.6193395761583788E-11</v>
      </c>
      <c r="M19" s="103">
        <f>Cálculos!L20*Cálculos!M20</f>
        <v>1.8225524556330765E-12</v>
      </c>
      <c r="N19" s="98">
        <f>Cálculos!L20*Cálculos!M21</f>
        <v>1.14132880493689E-13</v>
      </c>
      <c r="R19" s="129" t="s">
        <v>77</v>
      </c>
      <c r="S19" s="130"/>
      <c r="T19" s="90">
        <f>Cálculos!C40</f>
        <v>0.53676470588235292</v>
      </c>
      <c r="U19" s="91">
        <f>Cálculos!D40</f>
        <v>0.79132791327913277</v>
      </c>
      <c r="V19"/>
      <c r="Y19"/>
      <c r="Z19"/>
      <c r="AA19" s="169" t="s">
        <v>99</v>
      </c>
      <c r="AB19" s="167"/>
      <c r="AC19" s="167" t="s">
        <v>100</v>
      </c>
      <c r="AD19" s="168"/>
    </row>
    <row r="20" spans="1:33" ht="15.75" thickBot="1">
      <c r="B20" s="149"/>
      <c r="C20" s="67">
        <v>10</v>
      </c>
      <c r="D20" s="85">
        <f>Cálculos!L21*Cálculos!M11</f>
        <v>7.9507006204185792E-6</v>
      </c>
      <c r="E20" s="79">
        <f>Cálculos!L21*Cálculos!M12</f>
        <v>4.9789313934238889E-6</v>
      </c>
      <c r="F20" s="79">
        <f>Cálculos!L21*Cálculos!M13</f>
        <v>1.5589668762497595E-6</v>
      </c>
      <c r="G20" s="79">
        <f>Cálculos!L21*Cálculos!M14</f>
        <v>3.2542159875965158E-7</v>
      </c>
      <c r="H20" s="79">
        <f>Cálculos!L21*Cálculos!M15</f>
        <v>5.0946825050913576E-8</v>
      </c>
      <c r="I20" s="79">
        <f>Cálculos!L21*Cálculos!M16</f>
        <v>6.3808400982884406E-9</v>
      </c>
      <c r="J20" s="79">
        <f>Cálculos!L21*Cálculos!M17</f>
        <v>6.6597411973557867E-10</v>
      </c>
      <c r="K20" s="79">
        <f>Cálculos!L21*Cálculos!M18</f>
        <v>5.9578567084187789E-11</v>
      </c>
      <c r="L20" s="79">
        <f>Cálculos!L21*Cálculos!M19</f>
        <v>4.6637021721844303E-12</v>
      </c>
      <c r="M20" s="101">
        <f>Cálculos!L21*Cálculos!M20</f>
        <v>3.2450324210052339E-13</v>
      </c>
      <c r="N20" s="103">
        <f>Cálculos!L21*Cálculos!M21</f>
        <v>2.0321220185461701E-14</v>
      </c>
      <c r="R20" s="153" t="s">
        <v>78</v>
      </c>
      <c r="S20" s="154"/>
      <c r="T20" s="92">
        <f>Cálculos!C41</f>
        <v>1.7804878048780486</v>
      </c>
      <c r="U20" s="93">
        <f>Cálculos!D41</f>
        <v>0.62622549019607843</v>
      </c>
      <c r="V20"/>
      <c r="Y20"/>
      <c r="Z20"/>
      <c r="AA20" s="163">
        <f>SUM(D10:D20,E11:E20,F12:F20,G13:G20,H14:H20,I15:I20,J16:J20,K17:K20,L18:L20,M19:M20,N20)</f>
        <v>0.87481284443172269</v>
      </c>
      <c r="AB20" s="164"/>
      <c r="AC20" s="165">
        <f>SUM(D10:N10,E11:N11,F12:N12,G13:N13,H14:N14,I15:N15,J16:N16,K17:N17,L18:N18,M19:N19,N20)</f>
        <v>0.34749879142989992</v>
      </c>
      <c r="AD20" s="166"/>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2">
    <mergeCell ref="V6:AG6"/>
    <mergeCell ref="V23:AG23"/>
    <mergeCell ref="AB11:AC11"/>
    <mergeCell ref="AB17:AC17"/>
    <mergeCell ref="AB16:AC16"/>
    <mergeCell ref="AB15:AC15"/>
    <mergeCell ref="AA20:AB20"/>
    <mergeCell ref="AC20:AD20"/>
    <mergeCell ref="AC19:AD19"/>
    <mergeCell ref="AA19:AB19"/>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J35" sqref="J35"/>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3" t="s">
        <v>34</v>
      </c>
      <c r="C2" s="173"/>
    </row>
    <row r="3" spans="1:26">
      <c r="I3" s="174" t="s">
        <v>32</v>
      </c>
      <c r="J3" s="175"/>
      <c r="K3" s="175"/>
      <c r="L3" s="176" t="s">
        <v>31</v>
      </c>
      <c r="M3" s="175" t="s">
        <v>33</v>
      </c>
      <c r="N3" s="175"/>
      <c r="O3" s="178"/>
    </row>
    <row r="4" spans="1:26" ht="15.75" thickBot="1">
      <c r="I4" s="179" t="s">
        <v>101</v>
      </c>
      <c r="J4" s="180"/>
      <c r="K4" s="180"/>
      <c r="L4" s="177"/>
      <c r="M4" s="180" t="s">
        <v>102</v>
      </c>
      <c r="N4" s="180"/>
      <c r="O4" s="181"/>
    </row>
    <row r="5" spans="1:26" ht="15.75" thickBot="1">
      <c r="J5" s="170" t="s">
        <v>103</v>
      </c>
      <c r="K5" s="171"/>
      <c r="L5" s="171"/>
      <c r="M5" s="171"/>
      <c r="N5" s="172"/>
    </row>
    <row r="6" spans="1:26">
      <c r="A6" s="182" t="s">
        <v>29</v>
      </c>
      <c r="B6" s="182"/>
      <c r="C6" s="182"/>
      <c r="D6" s="182"/>
      <c r="E6" s="182"/>
      <c r="F6" s="182"/>
      <c r="G6" s="182"/>
      <c r="H6" s="182"/>
      <c r="I6" s="182"/>
      <c r="J6" s="182"/>
      <c r="K6" s="182"/>
      <c r="L6" s="182"/>
      <c r="M6" s="182"/>
      <c r="N6" s="182"/>
      <c r="O6" s="182"/>
      <c r="P6" s="182"/>
      <c r="Q6" s="182"/>
      <c r="R6" s="182"/>
      <c r="S6" s="182"/>
      <c r="T6" s="182"/>
      <c r="U6" s="182"/>
    </row>
    <row r="7" spans="1:26" ht="15.75" thickBot="1">
      <c r="A7" s="183"/>
      <c r="B7" s="183"/>
      <c r="C7" s="183"/>
      <c r="D7" s="183"/>
      <c r="E7" s="183"/>
      <c r="F7" s="183"/>
      <c r="G7" s="183"/>
      <c r="H7" s="183"/>
      <c r="I7" s="183"/>
      <c r="J7" s="183"/>
      <c r="K7" s="183"/>
      <c r="L7" s="183"/>
      <c r="M7" s="183"/>
      <c r="N7" s="183"/>
      <c r="O7" s="183"/>
      <c r="P7" s="183"/>
      <c r="Q7" s="183"/>
      <c r="R7" s="183"/>
      <c r="S7" s="183"/>
      <c r="T7" s="183"/>
      <c r="U7" s="183"/>
    </row>
    <row r="8" spans="1:26" ht="15.75" thickTop="1"/>
    <row r="9" spans="1:26" ht="15.75" thickBot="1">
      <c r="P9" s="184" t="s">
        <v>23</v>
      </c>
      <c r="Q9" s="184"/>
    </row>
    <row r="10" spans="1:26" ht="15.75" thickBot="1">
      <c r="C10" s="189" t="s">
        <v>10</v>
      </c>
      <c r="D10" s="190"/>
      <c r="H10" s="191" t="s">
        <v>14</v>
      </c>
      <c r="I10" s="192"/>
      <c r="K10" s="15"/>
      <c r="L10" s="16" t="s">
        <v>0</v>
      </c>
      <c r="M10" s="17" t="s">
        <v>1</v>
      </c>
      <c r="P10" s="14" t="s">
        <v>95</v>
      </c>
      <c r="Q10" s="14" t="s">
        <v>96</v>
      </c>
      <c r="R10" s="14" t="s">
        <v>93</v>
      </c>
      <c r="T10" s="193" t="s">
        <v>94</v>
      </c>
      <c r="U10" s="193"/>
      <c r="V10" s="193"/>
      <c r="W10" s="193"/>
      <c r="X10" s="193"/>
      <c r="Y10" s="193"/>
      <c r="Z10" s="193"/>
    </row>
    <row r="11" spans="1:26" ht="15.75" thickBot="1">
      <c r="C11" s="22" t="s">
        <v>11</v>
      </c>
      <c r="D11" s="23" t="s">
        <v>12</v>
      </c>
      <c r="E11" s="7"/>
      <c r="H11" s="30" t="s">
        <v>12</v>
      </c>
      <c r="I11" s="31" t="s">
        <v>11</v>
      </c>
      <c r="K11" s="24" t="s">
        <v>16</v>
      </c>
      <c r="L11" s="52">
        <f>((C41^0)*(2.71828^(-C41)))/FACT(0)</f>
        <v>0.16855610668959156</v>
      </c>
      <c r="M11" s="53">
        <f>((D41^0)*(2.71828^(-D41)))/FACT(0)</f>
        <v>0.5346060978499837</v>
      </c>
      <c r="P11" s="34">
        <v>12</v>
      </c>
      <c r="Q11" s="35">
        <v>17</v>
      </c>
      <c r="R11" s="110">
        <v>6</v>
      </c>
      <c r="T11" s="193"/>
      <c r="U11" s="193"/>
      <c r="V11" s="193"/>
      <c r="W11" s="193"/>
      <c r="X11" s="193"/>
      <c r="Y11" s="193"/>
      <c r="Z11" s="193"/>
    </row>
    <row r="12" spans="1:26">
      <c r="C12" s="40">
        <v>2</v>
      </c>
      <c r="D12" s="41">
        <v>1</v>
      </c>
      <c r="H12" s="40">
        <v>0</v>
      </c>
      <c r="I12" s="41">
        <v>1</v>
      </c>
      <c r="K12" s="24" t="s">
        <v>17</v>
      </c>
      <c r="L12" s="52">
        <f>((C41^1)*(2.71828^(-C41)))/FACT(1)</f>
        <v>0.30011209239854103</v>
      </c>
      <c r="M12" s="53">
        <f>((D41^1)*(2.71828^(-D41)))/FACT(1)</f>
        <v>0.33478396568791868</v>
      </c>
      <c r="P12" s="36">
        <v>13</v>
      </c>
      <c r="Q12" s="37">
        <v>11</v>
      </c>
      <c r="R12" s="111">
        <v>7</v>
      </c>
      <c r="T12" s="193"/>
      <c r="U12" s="193"/>
      <c r="V12" s="193"/>
      <c r="W12" s="193"/>
      <c r="X12" s="193"/>
      <c r="Y12" s="193"/>
      <c r="Z12" s="193"/>
    </row>
    <row r="13" spans="1:26">
      <c r="C13" s="42">
        <v>1</v>
      </c>
      <c r="D13" s="37">
        <v>0</v>
      </c>
      <c r="H13" s="42">
        <v>3</v>
      </c>
      <c r="I13" s="37">
        <v>2</v>
      </c>
      <c r="K13" s="24" t="s">
        <v>18</v>
      </c>
      <c r="L13" s="52">
        <f>((C41^2)*(2.71828^(-C41)))/FACT(2)</f>
        <v>0.26717296030601823</v>
      </c>
      <c r="M13" s="53">
        <f>((D41^2)*(2.71828^(-D41)))/FACT(2)</f>
        <v>0.10482512651135199</v>
      </c>
      <c r="P13" s="36">
        <v>9</v>
      </c>
      <c r="Q13" s="37">
        <v>7</v>
      </c>
      <c r="R13" s="111">
        <v>7</v>
      </c>
      <c r="T13" s="193"/>
      <c r="U13" s="193"/>
      <c r="V13" s="193"/>
      <c r="W13" s="193"/>
      <c r="X13" s="193"/>
      <c r="Y13" s="193"/>
      <c r="Z13" s="193"/>
    </row>
    <row r="14" spans="1:26">
      <c r="C14" s="42">
        <v>3</v>
      </c>
      <c r="D14" s="37">
        <v>0</v>
      </c>
      <c r="H14" s="42">
        <v>3</v>
      </c>
      <c r="I14" s="37">
        <v>2</v>
      </c>
      <c r="K14" s="24" t="s">
        <v>19</v>
      </c>
      <c r="L14" s="52">
        <f>((C41^3)*(2.71828^(-C41)))/FACT(3)</f>
        <v>0.15856606587267746</v>
      </c>
      <c r="M14" s="53">
        <f>((D41^3)*(2.71828^(-D41)))/FACT(3)</f>
        <v>2.1881388744812446E-2</v>
      </c>
      <c r="P14" s="36">
        <v>13</v>
      </c>
      <c r="Q14" s="37">
        <v>10</v>
      </c>
      <c r="R14" s="111">
        <v>7</v>
      </c>
    </row>
    <row r="15" spans="1:26">
      <c r="C15" s="42">
        <v>3</v>
      </c>
      <c r="D15" s="37">
        <v>2</v>
      </c>
      <c r="H15" s="42">
        <v>0</v>
      </c>
      <c r="I15" s="37">
        <v>1</v>
      </c>
      <c r="K15" s="24" t="s">
        <v>21</v>
      </c>
      <c r="L15" s="52">
        <f>((C41^4)*(2.71828^(-C41)))/FACT(4)</f>
        <v>7.0581236638447883E-2</v>
      </c>
      <c r="M15" s="53">
        <f>((D41^4)*(2.71828^(-D41)))/FACT(4)</f>
        <v>3.4256708482227811E-3</v>
      </c>
      <c r="P15" s="36">
        <v>16</v>
      </c>
      <c r="Q15" s="37">
        <v>10</v>
      </c>
      <c r="R15" s="111">
        <v>6</v>
      </c>
    </row>
    <row r="16" spans="1:26">
      <c r="C16" s="42"/>
      <c r="D16" s="37"/>
      <c r="H16" s="42">
        <v>0</v>
      </c>
      <c r="I16" s="37">
        <v>0</v>
      </c>
      <c r="K16" s="24" t="s">
        <v>20</v>
      </c>
      <c r="L16" s="52">
        <f>((C41^5)*(2.71828^(-C41)))/FACT(5)</f>
        <v>2.5133806217593636E-2</v>
      </c>
      <c r="M16" s="53">
        <f>((D41^5)*(2.71828^(-D41)))/FACT(5)</f>
        <v>4.2904848123574539E-4</v>
      </c>
      <c r="P16" s="36">
        <v>9</v>
      </c>
      <c r="Q16" s="37">
        <v>7</v>
      </c>
      <c r="R16" s="111">
        <v>4</v>
      </c>
    </row>
    <row r="17" spans="2:18">
      <c r="C17" s="42"/>
      <c r="D17" s="37"/>
      <c r="H17" s="42">
        <v>2</v>
      </c>
      <c r="I17" s="37">
        <v>1</v>
      </c>
      <c r="K17" s="69" t="s">
        <v>22</v>
      </c>
      <c r="L17" s="70">
        <f>((C41^6)*(2.71828^(-C41)))/FACT(6)</f>
        <v>7.4584059100989237E-3</v>
      </c>
      <c r="M17" s="71">
        <f>((D41^6)*(2.71828^(-D41)))/FACT(6)</f>
        <v>4.4780182579956269E-5</v>
      </c>
      <c r="P17" s="36">
        <v>11</v>
      </c>
      <c r="Q17" s="37">
        <v>11</v>
      </c>
      <c r="R17" s="111">
        <v>7</v>
      </c>
    </row>
    <row r="18" spans="2:18">
      <c r="C18" s="42"/>
      <c r="D18" s="37"/>
      <c r="H18" s="42"/>
      <c r="I18" s="37"/>
      <c r="K18" s="72" t="s">
        <v>82</v>
      </c>
      <c r="L18" s="52">
        <f>((C41^7)*(2.71828^(-C41)))/FACT(7)</f>
        <v>1.8970858238230711E-3</v>
      </c>
      <c r="M18" s="53">
        <f>((D41^7)*(2.71828^(-D41)))/FACT(7)</f>
        <v>4.0060702553147149E-6</v>
      </c>
      <c r="P18" s="36">
        <v>11</v>
      </c>
      <c r="Q18" s="37">
        <v>11</v>
      </c>
      <c r="R18" s="111">
        <v>7</v>
      </c>
    </row>
    <row r="19" spans="2:18">
      <c r="C19" s="42"/>
      <c r="D19" s="37"/>
      <c r="H19" s="42"/>
      <c r="I19" s="37"/>
      <c r="K19" s="72" t="s">
        <v>83</v>
      </c>
      <c r="L19" s="52">
        <f>((C41^8)*(2.71828^(-C41)))/FACT(8)</f>
        <v>4.2221727176550052E-4</v>
      </c>
      <c r="M19" s="53">
        <f>((D41^8)*(2.71828^(-D41)))/FACT(8)</f>
        <v>3.135879136742983E-7</v>
      </c>
      <c r="P19" s="36">
        <v>7</v>
      </c>
      <c r="Q19" s="37">
        <v>4</v>
      </c>
      <c r="R19" s="111">
        <v>5</v>
      </c>
    </row>
    <row r="20" spans="2:18">
      <c r="C20" s="42"/>
      <c r="D20" s="37"/>
      <c r="H20" s="42"/>
      <c r="I20" s="37"/>
      <c r="K20" s="72" t="s">
        <v>84</v>
      </c>
      <c r="L20" s="52">
        <f>((C41^9)*(2.71828^(-C41)))/FACT(9)</f>
        <v>8.35280781541505E-5</v>
      </c>
      <c r="M20" s="53">
        <f>((D41^9)*(2.71828^(-D41)))/FACT(9)</f>
        <v>2.1819638328916995E-8</v>
      </c>
      <c r="P20" s="36">
        <v>12</v>
      </c>
      <c r="Q20" s="37">
        <v>5</v>
      </c>
      <c r="R20" s="111">
        <v>7</v>
      </c>
    </row>
    <row r="21" spans="2:18" ht="15.75" thickBot="1">
      <c r="C21" s="42"/>
      <c r="D21" s="37"/>
      <c r="H21" s="42"/>
      <c r="I21" s="37"/>
      <c r="K21" s="73" t="s">
        <v>85</v>
      </c>
      <c r="L21" s="50">
        <f>((C41^10)*(2.71828^(-C41)))/FACT(10)</f>
        <v>1.4872072451836552E-5</v>
      </c>
      <c r="M21" s="51">
        <f>((D41^10)*(2.71828^(-D41)))/FACT(10)</f>
        <v>1.3664013708427188E-9</v>
      </c>
      <c r="P21" s="36">
        <v>3</v>
      </c>
      <c r="Q21" s="37">
        <v>7</v>
      </c>
      <c r="R21" s="111">
        <v>5</v>
      </c>
    </row>
    <row r="22" spans="2:18">
      <c r="C22" s="42"/>
      <c r="D22" s="37"/>
      <c r="H22" s="42"/>
      <c r="I22" s="37"/>
      <c r="P22" s="36">
        <v>7</v>
      </c>
      <c r="Q22" s="37">
        <v>2</v>
      </c>
      <c r="R22" s="111">
        <v>5</v>
      </c>
    </row>
    <row r="23" spans="2:18">
      <c r="C23" s="42"/>
      <c r="D23" s="37"/>
      <c r="H23" s="42"/>
      <c r="I23" s="37"/>
      <c r="P23" s="36"/>
      <c r="Q23" s="37"/>
      <c r="R23" s="111"/>
    </row>
    <row r="24" spans="2:18">
      <c r="C24" s="42"/>
      <c r="D24" s="37"/>
      <c r="H24" s="42"/>
      <c r="I24" s="37"/>
      <c r="P24" s="36"/>
      <c r="Q24" s="37"/>
      <c r="R24" s="111"/>
    </row>
    <row r="25" spans="2:18">
      <c r="C25" s="42"/>
      <c r="D25" s="37"/>
      <c r="H25" s="42"/>
      <c r="I25" s="37"/>
      <c r="P25" s="36"/>
      <c r="Q25" s="37"/>
      <c r="R25" s="111"/>
    </row>
    <row r="26" spans="2:18">
      <c r="C26" s="42"/>
      <c r="D26" s="37"/>
      <c r="H26" s="42"/>
      <c r="I26" s="37"/>
      <c r="P26" s="36"/>
      <c r="Q26" s="37"/>
      <c r="R26" s="111"/>
    </row>
    <row r="27" spans="2:18">
      <c r="C27" s="43"/>
      <c r="D27" s="39"/>
      <c r="H27" s="43"/>
      <c r="I27" s="39"/>
      <c r="P27" s="36"/>
      <c r="Q27" s="37"/>
      <c r="R27" s="111"/>
    </row>
    <row r="28" spans="2:18">
      <c r="C28" s="43"/>
      <c r="D28" s="39"/>
      <c r="H28" s="43"/>
      <c r="I28" s="39"/>
      <c r="P28" s="36"/>
      <c r="Q28" s="37"/>
      <c r="R28" s="111"/>
    </row>
    <row r="29" spans="2:18">
      <c r="C29" s="43"/>
      <c r="D29" s="39"/>
      <c r="H29" s="43"/>
      <c r="I29" s="39"/>
      <c r="P29" s="36"/>
      <c r="Q29" s="37"/>
      <c r="R29" s="111"/>
    </row>
    <row r="30" spans="2:18" ht="15.75" thickBot="1">
      <c r="C30" s="44"/>
      <c r="D30" s="45"/>
      <c r="H30" s="43"/>
      <c r="I30" s="39"/>
      <c r="P30" s="36"/>
      <c r="Q30" s="37"/>
      <c r="R30" s="111"/>
    </row>
    <row r="31" spans="2:18" ht="15.75" thickBot="1">
      <c r="B31" s="14" t="s">
        <v>13</v>
      </c>
      <c r="C31" s="8">
        <f>SUM(C12:C30)</f>
        <v>9</v>
      </c>
      <c r="D31" s="9">
        <f>SUM(D12:D30)</f>
        <v>3</v>
      </c>
      <c r="G31" s="27" t="s">
        <v>13</v>
      </c>
      <c r="H31" s="28">
        <f>SUM(H12:H30)</f>
        <v>8</v>
      </c>
      <c r="I31" s="29">
        <f>SUM(I12:I30)</f>
        <v>7</v>
      </c>
      <c r="P31" s="36"/>
      <c r="Q31" s="37"/>
      <c r="R31" s="111"/>
    </row>
    <row r="32" spans="2:18" ht="15.75" thickBot="1">
      <c r="B32" s="14" t="s">
        <v>15</v>
      </c>
      <c r="C32" s="10">
        <f>COUNT(C12:C30)</f>
        <v>4</v>
      </c>
      <c r="G32" s="14" t="s">
        <v>15</v>
      </c>
      <c r="H32" s="26">
        <f>COUNT(H12:H30)</f>
        <v>6</v>
      </c>
      <c r="P32" s="36"/>
      <c r="Q32" s="37"/>
      <c r="R32" s="111"/>
    </row>
    <row r="33" spans="1:21">
      <c r="P33" s="36"/>
      <c r="Q33" s="37"/>
      <c r="R33" s="111"/>
    </row>
    <row r="34" spans="1:21">
      <c r="B34" s="184" t="s">
        <v>5</v>
      </c>
      <c r="C34" s="184"/>
      <c r="D34" s="184"/>
      <c r="E34" s="184"/>
      <c r="G34" s="184" t="s">
        <v>6</v>
      </c>
      <c r="H34" s="184"/>
      <c r="I34" s="184"/>
      <c r="J34" s="184"/>
      <c r="P34" s="36"/>
      <c r="Q34" s="37"/>
      <c r="R34" s="111"/>
    </row>
    <row r="35" spans="1:21">
      <c r="B35" s="143" t="s">
        <v>2</v>
      </c>
      <c r="C35" s="144"/>
      <c r="D35" s="11" t="s">
        <v>4</v>
      </c>
      <c r="E35" s="3">
        <f>C31/C32</f>
        <v>2.25</v>
      </c>
      <c r="G35" s="143" t="s">
        <v>2</v>
      </c>
      <c r="H35" s="144"/>
      <c r="I35" s="11" t="s">
        <v>4</v>
      </c>
      <c r="J35" s="3">
        <f>I31/H32</f>
        <v>1.1666666666666667</v>
      </c>
      <c r="P35" s="36"/>
      <c r="Q35" s="37"/>
      <c r="R35" s="111"/>
    </row>
    <row r="36" spans="1:21" ht="15.75" thickBot="1">
      <c r="B36" s="145" t="s">
        <v>3</v>
      </c>
      <c r="C36" s="146"/>
      <c r="D36" s="12" t="s">
        <v>4</v>
      </c>
      <c r="E36" s="2">
        <f>D31/C32</f>
        <v>0.75</v>
      </c>
      <c r="G36" s="145" t="s">
        <v>3</v>
      </c>
      <c r="H36" s="146"/>
      <c r="I36" s="12" t="s">
        <v>4</v>
      </c>
      <c r="J36" s="2">
        <f>H31/H32</f>
        <v>1.3333333333333333</v>
      </c>
      <c r="P36" s="36"/>
      <c r="Q36" s="37"/>
      <c r="R36" s="111"/>
    </row>
    <row r="37" spans="1:21" ht="15.75" thickBot="1">
      <c r="P37" s="38"/>
      <c r="Q37" s="39"/>
      <c r="R37" s="112"/>
    </row>
    <row r="38" spans="1:21" ht="15.75" thickBot="1">
      <c r="B38" s="60"/>
      <c r="C38" s="61" t="s">
        <v>0</v>
      </c>
      <c r="D38" s="62" t="s">
        <v>1</v>
      </c>
      <c r="O38" s="114" t="s">
        <v>24</v>
      </c>
      <c r="P38" s="13">
        <f>SUM(P11:P37)</f>
        <v>123</v>
      </c>
      <c r="Q38" s="113">
        <f>SUM(Q11:Q37)</f>
        <v>102</v>
      </c>
    </row>
    <row r="39" spans="1:21" ht="15.75" thickBot="1">
      <c r="B39" s="63" t="s">
        <v>27</v>
      </c>
      <c r="C39" s="64">
        <f>E35/P41</f>
        <v>1.3353658536585364</v>
      </c>
      <c r="D39" s="65">
        <f>J35/Q41</f>
        <v>0.83496732026143794</v>
      </c>
      <c r="F39" t="s">
        <v>92</v>
      </c>
      <c r="O39" s="14" t="s">
        <v>25</v>
      </c>
      <c r="P39" s="185">
        <f>SUM(R11:R37)</f>
        <v>73</v>
      </c>
      <c r="Q39" s="186"/>
    </row>
    <row r="40" spans="1:21" ht="15.75" thickBot="1">
      <c r="B40" s="18" t="s">
        <v>77</v>
      </c>
      <c r="C40" s="20">
        <f>E36/Q41</f>
        <v>0.53676470588235292</v>
      </c>
      <c r="D40" s="21">
        <f>J36/P41</f>
        <v>0.79132791327913277</v>
      </c>
      <c r="O40" s="14" t="s">
        <v>26</v>
      </c>
      <c r="P40" s="187">
        <f>COUNT(P11:P37)</f>
        <v>12</v>
      </c>
      <c r="Q40" s="188"/>
    </row>
    <row r="41" spans="1:21" ht="15.75" thickBot="1">
      <c r="B41" s="18" t="s">
        <v>78</v>
      </c>
      <c r="C41" s="20">
        <f>C39*D40*P41</f>
        <v>1.7804878048780486</v>
      </c>
      <c r="D41" s="21">
        <f>C40*D39*Q41</f>
        <v>0.62622549019607843</v>
      </c>
      <c r="O41" s="14" t="s">
        <v>35</v>
      </c>
      <c r="P41" s="19">
        <f>P38/(P39)</f>
        <v>1.6849315068493151</v>
      </c>
      <c r="Q41" s="113">
        <f>Q38/(P39)</f>
        <v>1.3972602739726028</v>
      </c>
    </row>
    <row r="43" spans="1:21">
      <c r="A43" s="182" t="s">
        <v>30</v>
      </c>
      <c r="B43" s="182"/>
      <c r="C43" s="182"/>
      <c r="D43" s="182"/>
      <c r="E43" s="182"/>
      <c r="F43" s="182"/>
      <c r="G43" s="182"/>
      <c r="H43" s="182"/>
      <c r="I43" s="182"/>
      <c r="J43" s="182"/>
      <c r="K43" s="182"/>
      <c r="L43" s="182"/>
      <c r="M43" s="182"/>
      <c r="N43" s="182"/>
      <c r="O43" s="182"/>
      <c r="P43" s="182"/>
      <c r="Q43" s="182"/>
      <c r="R43" s="182"/>
      <c r="S43" s="182"/>
      <c r="T43" s="182"/>
      <c r="U43" s="182"/>
    </row>
    <row r="44" spans="1:21" ht="15.75" thickBot="1">
      <c r="A44" s="183"/>
      <c r="B44" s="183"/>
      <c r="C44" s="183"/>
      <c r="D44" s="183"/>
      <c r="E44" s="183"/>
      <c r="F44" s="183"/>
      <c r="G44" s="183"/>
      <c r="H44" s="183"/>
      <c r="I44" s="183"/>
      <c r="J44" s="183"/>
      <c r="K44" s="183"/>
      <c r="L44" s="183"/>
      <c r="M44" s="183"/>
      <c r="N44" s="183"/>
      <c r="O44" s="183"/>
      <c r="P44" s="183"/>
      <c r="Q44" s="183"/>
      <c r="R44" s="183"/>
      <c r="S44" s="183"/>
      <c r="T44" s="183"/>
      <c r="U44" s="183"/>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2018-06-02T09:20:09Z</dcterms:modified>
</cp:coreProperties>
</file>