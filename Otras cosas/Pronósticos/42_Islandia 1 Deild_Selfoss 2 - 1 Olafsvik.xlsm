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M11" s="1"/>
  <c r="C41"/>
  <c r="U19" i="1"/>
  <c r="U18"/>
  <c r="U9"/>
  <c r="U10"/>
  <c r="Z10"/>
  <c r="Z9"/>
  <c r="M19" i="2" l="1"/>
  <c r="T19" i="1"/>
  <c r="T18"/>
  <c r="U20" l="1"/>
  <c r="M16" i="2"/>
  <c r="X15" i="1" s="1"/>
  <c r="M20" i="2"/>
  <c r="M17"/>
  <c r="Y15" i="1" s="1"/>
  <c r="M13" i="2"/>
  <c r="U15" i="1" s="1"/>
  <c r="M14" i="2"/>
  <c r="V15" i="1" s="1"/>
  <c r="M18" i="2"/>
  <c r="S15" i="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<sst xmlns="http://schemas.openxmlformats.org/spreadsheetml/2006/main" count="160" uniqueCount="115">
  <si>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</si>
  <si>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</si>
  <si>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</si>
  <si>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</si>
  <si>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</si>
  <si>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</si>
  <si>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</si>
  <si>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</si>
  <si>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</si>
  <si>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</si>
  <si>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</si>
  <si>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</si>
  <si>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</si>
  <si>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</si>
  <si>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</si>
  <si>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</si>
  <si>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</si>
  <si>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</si>
  <si>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</si>
  <si>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</si>
  <si>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</si>
  <si>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</si>
  <si>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</si>
  <si>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</si>
  <si>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</si>
  <si>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</si>
  <si>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</si>
  <si>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</si>
  <si>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</si>
  <si>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</si>
  <si>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</si>
  <si>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</si>
  <si>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</si>
  <si>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</si>
  <si>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</si>
  <si>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</si>
  <si>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</si>
  <si>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</si>
  <si>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</si>
  <si>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</si>
  <si>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</si>
  <si>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</si>
  <si>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</si>
  <si>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</si>
  <si>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</si>
  <si>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</si>
  <si>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</si>
  <si>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</si>
  <si>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</si>
  <si>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</si>
  <si>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</si>
  <si>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</si>
  <si>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</si>
  <si>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</si>
  <si>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</si>
  <si>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</si>
  <si>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</si>
  <si>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</si>
  <si>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</si>
  <si>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</si>
  <si>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</si>
  <si>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</si>
  <si>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</si>
  <si>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</si>
  <si>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</si>
  <si>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</si>
  <si>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</si>
  <si>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</si>
  <si>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</si>
  <si>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</si>
  <si>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</si>
  <si>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</si>
  <si>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</si>
  <si>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</si>
  <si>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</si>
  <si>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</si>
  <si>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</si>
  <si>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</si>
  <si>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</si>
  <si>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</si>
  <si>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</si>
  <si>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</si>
  <si>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</si>
  <si>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</si>
  <si>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</si>
  <si>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</si>
  <si>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</si>
  <si>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</si>
  <si>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</si>
  <si>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</si>
  <si>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</si>
  <si>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</si>
  <si>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</si>
  <si>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</si>
  <si>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</si>
  <si>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</si>
  <si>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</si>
  <si>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</si>
  <si>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</si>
  <si>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</si>
  <si>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</si>
  <si>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</si>
  <si>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</si>
  <si>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</si>
  <si>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</si>
  <si>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</si>
  <si>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</si>
  <si>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</si>
  <si>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</si>
  <si>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</si>
  <si>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0-1</t>
  </si>
  <si>
    <t>0-0</t>
  </si>
  <si>
    <t>Selfoss</t>
  </si>
  <si>
    <t>Olafsvik</t>
  </si>
  <si>
    <t>Islandia 1 Deild</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</si>
</sst>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43</v>
      </c>
    </row>
    <row r="3" spans="1:33" ht="15.75" thickBot="1">
      <c r="F3" s="126" t="str">
        <f>Cálculos!I4</f>
        <v>Selfoss</v>
      </c>
      <c r="G3" s="124"/>
      <c r="H3" s="124"/>
      <c r="I3" s="128"/>
      <c r="J3" s="124" t="str">
        <f>Cálculos!M4</f>
        <v>Olafsvik</v>
      </c>
      <c r="K3" s="124"/>
      <c r="L3" s="125"/>
    </row>
    <row r="4" spans="1:33" ht="15.75" thickBot="1">
      <c r="G4" s="118" t="str">
        <f>Cálculos!J5</f>
        <v>Islandia 1 Deild</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0.16515800641091793</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1.2</v>
      </c>
      <c r="V9"/>
      <c r="W9" s="143" t="s">
        <v>2</v>
      </c>
      <c r="X9" s="144"/>
      <c r="Y9" s="11" t="s">
        <v>4</v>
      </c>
      <c r="Z9" s="86">
        <f>Cálculos!J35</f>
        <v>1.4</v>
      </c>
      <c r="AA9"/>
      <c r="AB9" s="109" t="s">
        <v>90</v>
      </c>
      <c r="AC9" s="107">
        <f>SUM(D10:D12,E11,E10,F10)</f>
        <v>0.83484289135198719</v>
      </c>
    </row>
    <row r="10" spans="1:33" ht="15.75" customHeight="1" thickBot="1">
      <c r="B10" s="147" t="s">
        <v>80</v>
      </c>
      <c r="C10" s="94">
        <v>0</v>
      </c>
      <c r="D10" s="102">
        <f>Cálculos!L11*Cálculos!M11</f>
        <v>0.24797447989049717</v>
      </c>
      <c r="E10" s="96">
        <f>Cálculos!M12*Cálculos!L11</f>
        <v>0.28476259260336584</v>
      </c>
      <c r="F10" s="77">
        <f>Cálculos!M13*Cálculos!L11</f>
        <v>0.16350419241124903</v>
      </c>
      <c r="G10" s="77">
        <f>Cálculos!M14*Cálculos!L11</f>
        <v>6.2586921247040128E-2</v>
      </c>
      <c r="H10" s="77">
        <f>Cálculos!M15*Cálculos!L11</f>
        <v>1.7967992074466713E-2</v>
      </c>
      <c r="I10" s="77">
        <f>Cálculos!M16*Cálculos!L11</f>
        <v>4.1267246607484057E-3</v>
      </c>
      <c r="J10" s="77">
        <f>Cálculos!M17*Cálculos!L11</f>
        <v>7.8982375785463142E-4</v>
      </c>
      <c r="K10" s="77">
        <f>Cálculos!M18*Cálculos!L11</f>
        <v>1.2957108736450662E-4</v>
      </c>
      <c r="L10" s="77">
        <f>Cálculos!M19*Cálculos!L11</f>
        <v>1.859919152801905E-5</v>
      </c>
      <c r="M10" s="77">
        <f>Cálculos!M20*Cálculos!L11</f>
        <v>2.3731626658535699E-6</v>
      </c>
      <c r="N10" s="84">
        <f>Cálculos!M21*Cálculos!L11</f>
        <v>2.7252318613447577E-7</v>
      </c>
      <c r="R10" s="145" t="s">
        <v>3</v>
      </c>
      <c r="S10" s="146"/>
      <c r="T10" s="12" t="s">
        <v>4</v>
      </c>
      <c r="U10" s="87">
        <f>Cálculos!E36</f>
        <v>1.2000000000000002</v>
      </c>
      <c r="V10"/>
      <c r="W10" s="145" t="s">
        <v>3</v>
      </c>
      <c r="X10" s="146"/>
      <c r="Y10" s="12" t="s">
        <v>4</v>
      </c>
      <c r="Z10" s="87">
        <f>Cálculos!J36</f>
        <v>0.3</v>
      </c>
      <c r="AA10"/>
    </row>
    <row r="11" spans="1:33" ht="15.75" thickBot="1">
      <c r="B11" s="148"/>
      <c r="C11" s="66">
        <v>1</v>
      </c>
      <c r="D11" s="99">
        <f>Cálculos!L12*Cálculos!M11</f>
        <v>6.1020555557864106E-2</v>
      </c>
      <c r="E11" s="103">
        <f>Cálculos!L12*Cálculos!M12</f>
        <v>7.007322531910673E-2</v>
      </c>
      <c r="F11" s="97">
        <f>Cálculos!L12*Cálculos!M13</f>
        <v>4.0234449373097225E-2</v>
      </c>
      <c r="G11" s="80">
        <f>Cálculos!L12*Cálculos!M14</f>
        <v>1.5401136063828608E-2</v>
      </c>
      <c r="H11" s="80">
        <f>Cálculos!L12*Cálculos!M15</f>
        <v>4.4214907079447195E-3</v>
      </c>
      <c r="I11" s="80">
        <f>Cálculos!L12*Cálculos!M16</f>
        <v>1.0154876886702404E-3</v>
      </c>
      <c r="J11" s="80">
        <f>Cálculos!L12*Cálculos!M17</f>
        <v>1.943566310467599E-4</v>
      </c>
      <c r="K11" s="80">
        <f>Cálculos!L12*Cálculos!M18</f>
        <v>3.1884328333746945E-5</v>
      </c>
      <c r="L11" s="80">
        <f>Cálculos!L12*Cálculos!M19</f>
        <v>4.5768137127175984E-6</v>
      </c>
      <c r="M11" s="80">
        <f>Cálculos!L12*Cálculos!M20</f>
        <v>5.8397825600244797E-7</v>
      </c>
      <c r="N11" s="81">
        <f>Cálculos!L12*Cálculos!M21</f>
        <v>6.7061401752584902E-8</v>
      </c>
      <c r="S11"/>
      <c r="T11"/>
      <c r="U11"/>
      <c r="V11"/>
      <c r="W11"/>
      <c r="X11"/>
      <c r="Y11"/>
      <c r="Z11"/>
      <c r="AA11"/>
      <c r="AB11" s="155" t="s">
        <v>91</v>
      </c>
      <c r="AC11" s="156"/>
    </row>
    <row r="12" spans="1:33" ht="15.75" customHeight="1" thickBot="1">
      <c r="B12" s="148"/>
      <c r="C12" s="66">
        <v>2</v>
      </c>
      <c r="D12" s="76">
        <f>Cálculos!L13*Cálculos!M11</f>
        <v>7.5078455699042913E-3</v>
      </c>
      <c r="E12" s="100">
        <f>Cálculos!L13*Cálculos!M12</f>
        <v>8.6216677228065485E-3</v>
      </c>
      <c r="F12" s="103">
        <f>Cálculos!L13*Cálculos!M13</f>
        <v>4.9503651633734805E-3</v>
      </c>
      <c r="G12" s="97">
        <f>Cálculos!L13*Cálculos!M14</f>
        <v>1.8949245891191652E-3</v>
      </c>
      <c r="H12" s="80">
        <f>Cálculos!L13*Cálculos!M15</f>
        <v>5.4401126178762874E-4</v>
      </c>
      <c r="I12" s="80">
        <f>Cálculos!L13*Cálculos!M16</f>
        <v>1.2494354853005994E-4</v>
      </c>
      <c r="J12" s="80">
        <f>Cálculos!L13*Cálculos!M17</f>
        <v>2.3913246250310202E-5</v>
      </c>
      <c r="K12" s="80">
        <f>Cálculos!L13*Cálculos!M18</f>
        <v>3.9229831823293702E-6</v>
      </c>
      <c r="L12" s="80">
        <f>Cálculos!L13*Cálculos!M19</f>
        <v>5.6312188971664625E-7</v>
      </c>
      <c r="M12" s="80">
        <f>Cálculos!L13*Cálculos!M20</f>
        <v>7.185150187776954E-8</v>
      </c>
      <c r="N12" s="81">
        <f>Cálculos!L13*Cálculos!M21</f>
        <v>8.251099051077535E-9</v>
      </c>
      <c r="R12" s="141" t="s">
        <v>28</v>
      </c>
      <c r="S12" s="139" t="s">
        <v>7</v>
      </c>
      <c r="T12" s="139"/>
      <c r="U12" s="139"/>
      <c r="V12" s="139"/>
      <c r="W12" s="139"/>
      <c r="X12" s="139"/>
      <c r="Y12" s="140"/>
      <c r="Z12"/>
      <c r="AA12"/>
      <c r="AB12" s="115" t="s">
        <v>96</v>
      </c>
      <c r="AC12" s="116" t="s">
        <v>97</v>
      </c>
    </row>
    <row r="13" spans="1:33" ht="15.75" customHeight="1" thickBot="1">
      <c r="B13" s="148"/>
      <c r="C13" s="66">
        <v>3</v>
      </c>
      <c r="D13" s="76">
        <f>Cálculos!L14*Cálculos!M11</f>
        <v>6.158334087718962E-4</v>
      </c>
      <c r="E13" s="78">
        <f>Cálculos!L14*Cálculos!M12</f>
        <v>7.0719502333906861E-4</v>
      </c>
      <c r="F13" s="100">
        <f>Cálculos!L14*Cálculos!M13</f>
        <v>4.060552690969639E-4</v>
      </c>
      <c r="G13" s="103">
        <f>Cálculos!L14*Cálculos!M14</f>
        <v>1.554317890821796E-4</v>
      </c>
      <c r="H13" s="97">
        <f>Cálculos!L14*Cálculos!M15</f>
        <v>4.4622695903592829E-5</v>
      </c>
      <c r="I13" s="80">
        <f>Cálculos!L14*Cálculos!M16</f>
        <v>1.0248534107275801E-5</v>
      </c>
      <c r="J13" s="80">
        <f>Cálculos!L14*Cálculos!M17</f>
        <v>1.9614915911646847E-6</v>
      </c>
      <c r="K13" s="80">
        <f>Cálculos!L14*Cálculos!M18</f>
        <v>3.217839369809407E-7</v>
      </c>
      <c r="L13" s="80">
        <f>Cálculos!L14*Cálculos!M19</f>
        <v>4.6190251207137562E-8</v>
      </c>
      <c r="M13" s="80">
        <f>Cálculos!L14*Cálculos!M20</f>
        <v>5.8936421793410953E-9</v>
      </c>
      <c r="N13" s="81">
        <f>Cálculos!L14*Cálculos!M21</f>
        <v>6.7679901077192931E-10</v>
      </c>
      <c r="O13" s="32"/>
      <c r="R13" s="142"/>
      <c r="S13" s="104">
        <v>0</v>
      </c>
      <c r="T13" s="104">
        <v>1</v>
      </c>
      <c r="U13" s="104">
        <v>2</v>
      </c>
      <c r="V13" s="104">
        <v>3</v>
      </c>
      <c r="W13" s="104">
        <v>4</v>
      </c>
      <c r="X13" s="104">
        <v>5</v>
      </c>
      <c r="Y13" s="105">
        <v>6</v>
      </c>
      <c r="Z13"/>
      <c r="AA13" s="33"/>
      <c r="AB13" s="117">
        <f>SUM(E11:N20)</f>
        <v>0.1489532913862992</v>
      </c>
      <c r="AC13" s="107">
        <f>SUM(D10:D20,E10:N10)</f>
        <v>0.85104760637660593</v>
      </c>
    </row>
    <row r="14" spans="1:33" ht="15.75" customHeight="1" thickBot="1">
      <c r="B14" s="148"/>
      <c r="C14" s="66">
        <v>4</v>
      </c>
      <c r="D14" s="76">
        <f>Cálculos!L15*Cálculos!M11</f>
        <v>3.7885447678878669E-5</v>
      </c>
      <c r="E14" s="78">
        <f>Cálculos!L15*Cálculos!M12</f>
        <v>4.3505921688960415E-5</v>
      </c>
      <c r="F14" s="78">
        <f>Cálculos!L15*Cálculos!M13</f>
        <v>2.4980108959636E-5</v>
      </c>
      <c r="G14" s="100">
        <f>Cálculos!L15*Cálculos!M14</f>
        <v>9.5620062650556038E-6</v>
      </c>
      <c r="H14" s="103">
        <f>Cálculos!L15*Cálculos!M15</f>
        <v>2.7451430644488747E-6</v>
      </c>
      <c r="I14" s="97">
        <f>Cálculos!L15*Cálculos!M16</f>
        <v>6.3047944001721997E-7</v>
      </c>
      <c r="J14" s="80">
        <f>Cálculos!L15*Cálculos!M17</f>
        <v>1.2066897636785272E-7</v>
      </c>
      <c r="K14" s="80">
        <f>Cálculos!L15*Cálculos!M18</f>
        <v>1.9795821945916093E-8</v>
      </c>
      <c r="L14" s="80">
        <f>Cálculos!L15*Cálculos!M19</f>
        <v>2.8415774793251707E-9</v>
      </c>
      <c r="M14" s="80">
        <f>Cálculos!L15*Cálculos!M20</f>
        <v>3.6257089862781919E-10</v>
      </c>
      <c r="N14" s="81">
        <f>Cálculos!L15*Cálculos!M21</f>
        <v>4.1635989776602223E-11</v>
      </c>
      <c r="O14" s="33"/>
      <c r="R14" s="24" t="s">
        <v>8</v>
      </c>
      <c r="S14" s="46">
        <f>Cálculos!L11</f>
        <v>0.78186297009931471</v>
      </c>
      <c r="T14" s="47">
        <f>Cálculos!L12</f>
        <v>0.19239767264216046</v>
      </c>
      <c r="U14" s="47">
        <f>Cálculos!L13</f>
        <v>2.3672219975718979E-2</v>
      </c>
      <c r="V14" s="47">
        <f>Cálculos!L14</f>
        <v>1.9417213347172021E-3</v>
      </c>
      <c r="W14" s="47">
        <f>Cálculos!L15</f>
        <v>1.1945273021171645E-4</v>
      </c>
      <c r="X14" s="47">
        <f>Cálculos!L16</f>
        <v>5.8788887982677649E-6</v>
      </c>
      <c r="Y14" s="48">
        <f>Cálculos!L17</f>
        <v>2.4110885704288046E-7</v>
      </c>
      <c r="Z14"/>
      <c r="AA14"/>
    </row>
    <row r="15" spans="1:33" ht="15.75" thickBot="1">
      <c r="B15" s="148"/>
      <c r="C15" s="66">
        <v>5</v>
      </c>
      <c r="D15" s="76">
        <f>Cálculos!L16*Cálculos!M11</f>
        <v>1.8645395009554458E-6</v>
      </c>
      <c r="E15" s="78">
        <f>Cálculos!L16*Cálculos!M12</f>
        <v>2.1411521965402285E-6</v>
      </c>
      <c r="F15" s="78">
        <f>Cálculos!L16*Cálculos!M13</f>
        <v>1.2294008055071486E-6</v>
      </c>
      <c r="G15" s="78">
        <f>Cálculos!L16*Cálculos!M14</f>
        <v>4.7059595390552124E-7</v>
      </c>
      <c r="H15" s="100">
        <f>Cálculos!L16*Cálculos!M15</f>
        <v>1.3510273714654712E-7</v>
      </c>
      <c r="I15" s="103">
        <f>Cálculos!L16*Cálculos!M16</f>
        <v>3.1029165351733557E-8</v>
      </c>
      <c r="J15" s="97">
        <f>Cálculos!L16*Cálculos!M17</f>
        <v>5.9387465837748255E-9</v>
      </c>
      <c r="K15" s="80">
        <f>Cálculos!L16*Cálculos!M18</f>
        <v>9.7425513576862971E-10</v>
      </c>
      <c r="L15" s="80">
        <f>Cálculos!L16*Cálculos!M19</f>
        <v>1.3984877518501596E-10</v>
      </c>
      <c r="M15" s="80">
        <f>Cálculos!L16*Cálculos!M20</f>
        <v>1.7843995618543805E-11</v>
      </c>
      <c r="N15" s="81">
        <f>Cálculos!L16*Cálculos!M21</f>
        <v>2.0491231424231567E-12</v>
      </c>
      <c r="O15" s="33"/>
      <c r="R15" s="25" t="s">
        <v>9</v>
      </c>
      <c r="S15" s="49">
        <f>Cálculos!M11</f>
        <v>0.31715849115990064</v>
      </c>
      <c r="T15" s="50">
        <f>Cálculos!M12</f>
        <v>0.36421035845602767</v>
      </c>
      <c r="U15" s="50">
        <f>Cálculos!M13</f>
        <v>0.2091212893615875</v>
      </c>
      <c r="V15" s="50">
        <f>Cálculos!M14</f>
        <v>8.0048453041701342E-2</v>
      </c>
      <c r="W15" s="50">
        <f>Cálculos!M15</f>
        <v>2.2980998923870715E-2</v>
      </c>
      <c r="X15" s="50">
        <f>Cálculos!M16</f>
        <v>5.2780663857558262E-3</v>
      </c>
      <c r="Y15" s="51">
        <f>Cálculos!M17</f>
        <v>1.0101818196535199E-3</v>
      </c>
      <c r="Z15"/>
      <c r="AA15" s="33"/>
      <c r="AB15" s="161" t="s">
        <v>86</v>
      </c>
      <c r="AC15" s="162"/>
    </row>
    <row r="16" spans="1:33" ht="15.75" thickBot="1">
      <c r="B16" s="148"/>
      <c r="C16" s="66">
        <v>6</v>
      </c>
      <c r="D16" s="76">
        <f>Cálculos!L17*Cálculos!M11</f>
        <v>7.646972130500815E-8</v>
      </c>
      <c r="E16" s="78">
        <f>Cálculos!L17*Cálculos!M12</f>
        <v>8.7814343250510624E-8</v>
      </c>
      <c r="F16" s="78">
        <f>Cálculos!L17*Cálculos!M13</f>
        <v>5.0420995061305836E-8</v>
      </c>
      <c r="G16" s="78">
        <f>Cálculos!L17*Cálculos!M14</f>
        <v>1.9300391020935299E-8</v>
      </c>
      <c r="H16" s="78">
        <f>Cálculos!L17*Cálculos!M15</f>
        <v>5.5409223842381337E-9</v>
      </c>
      <c r="I16" s="100">
        <f>Cálculos!L17*Cálculos!M16</f>
        <v>1.2725885536660343E-9</v>
      </c>
      <c r="J16" s="103">
        <f>Cálculos!L17*Cálculos!M17</f>
        <v>2.4356378394215738E-10</v>
      </c>
      <c r="K16" s="97">
        <f>Cálculos!L17*Cálculos!M18</f>
        <v>3.9956792910004559E-11</v>
      </c>
      <c r="L16" s="80">
        <f>Cálculos!L17*Cálculos!M19</f>
        <v>5.7355700202462233E-12</v>
      </c>
      <c r="M16" s="80">
        <f>Cálculos!L17*Cálculos!M20</f>
        <v>7.3182969372255607E-13</v>
      </c>
      <c r="N16" s="81">
        <f>Cálculos!L17*Cálculos!M21</f>
        <v>8.4039987106975039E-14</v>
      </c>
      <c r="O16" s="33"/>
      <c r="S16"/>
      <c r="T16"/>
      <c r="U16"/>
      <c r="V16"/>
      <c r="W16"/>
      <c r="X16"/>
      <c r="Y16"/>
      <c r="Z16"/>
      <c r="AA16"/>
      <c r="AB16" s="159" t="s">
        <v>111</v>
      </c>
      <c r="AC16" s="160"/>
    </row>
    <row r="17" spans="1:33" ht="15.75" customHeight="1" thickBot="1">
      <c r="B17" s="148"/>
      <c r="C17" s="66">
        <v>7</v>
      </c>
      <c r="D17" s="76">
        <f>Cálculos!L18*Cálculos!M11</f>
        <v>2.6881941811380806E-9</v>
      </c>
      <c r="E17" s="78">
        <f>Cálculos!L18*Cálculos!M12</f>
        <v>3.0869996976309705E-9</v>
      </c>
      <c r="F17" s="78">
        <f>Cálculos!L18*Cálculos!M13</f>
        <v>1.7724848896777316E-9</v>
      </c>
      <c r="G17" s="78">
        <f>Cálculos!L18*Cálculos!M14</f>
        <v>6.7848029194752662E-10</v>
      </c>
      <c r="H17" s="78">
        <f>Cálculos!L18*Cálculos!M15</f>
        <v>1.9478396229582158E-10</v>
      </c>
      <c r="I17" s="78">
        <f>Cálculos!L18*Cálculos!M16</f>
        <v>4.4736205213865659E-11</v>
      </c>
      <c r="J17" s="100">
        <f>Cálculos!L18*Cálculos!M17</f>
        <v>8.5621699092866917E-12</v>
      </c>
      <c r="K17" s="103">
        <f>Cálculos!L18*Cálculos!M18</f>
        <v>1.404629392713361E-12</v>
      </c>
      <c r="L17" s="97">
        <f>Cálculos!L18*Cálculos!M19</f>
        <v>2.0162654827050016E-13</v>
      </c>
      <c r="M17" s="80">
        <f>Cálculos!L18*Cálculos!M20</f>
        <v>2.5726526665400525E-14</v>
      </c>
      <c r="N17" s="81">
        <f>Cálculos!L18*Cálculos!M21</f>
        <v>2.9543170874495385E-15</v>
      </c>
      <c r="R17" s="131"/>
      <c r="S17" s="132"/>
      <c r="T17" s="88" t="s">
        <v>88</v>
      </c>
      <c r="U17" s="89" t="s">
        <v>87</v>
      </c>
      <c r="V17"/>
      <c r="Y17"/>
      <c r="AB17" s="157" t="s">
        <v>110</v>
      </c>
      <c r="AC17" s="158"/>
    </row>
    <row r="18" spans="1:33" ht="15.75" thickBot="1">
      <c r="B18" s="148"/>
      <c r="C18" s="66">
        <v>8</v>
      </c>
      <c r="D18" s="76">
        <f>Cálculos!L19*Cálculos!M11</f>
        <v>8.2687491900829537E-11</v>
      </c>
      <c r="E18" s="78">
        <f>Cálculos!L19*Cálculos!M12</f>
        <v>9.4954547661307041E-11</v>
      </c>
      <c r="F18" s="78">
        <f>Cálculos!L19*Cálculos!M13</f>
        <v>5.4520737745783373E-11</v>
      </c>
      <c r="G18" s="78">
        <f>Cálculos!L19*Cálculos!M14</f>
        <v>2.0869710245980875E-11</v>
      </c>
      <c r="H18" s="78">
        <f>Cálculos!L19*Cálculos!M15</f>
        <v>5.9914560554284339E-12</v>
      </c>
      <c r="I18" s="78">
        <f>Cálculos!L19*Cálculos!M16</f>
        <v>1.3760630211353609E-12</v>
      </c>
      <c r="J18" s="78">
        <f>Cálculos!L19*Cálculos!M17</f>
        <v>2.6336801113375509E-13</v>
      </c>
      <c r="K18" s="100">
        <f>Cálculos!L19*Cálculos!M18</f>
        <v>4.3205688915107169E-14</v>
      </c>
      <c r="L18" s="103">
        <f>Cálculos!L19*Cálculos!M19</f>
        <v>6.2019305354090537E-15</v>
      </c>
      <c r="M18" s="97">
        <f>Cálculos!L19*Cálculos!M20</f>
        <v>7.9133493413826904E-16</v>
      </c>
      <c r="N18" s="81">
        <f>Cálculos!L19*Cálculos!M21</f>
        <v>9.0873297753194641E-17</v>
      </c>
      <c r="R18" s="129" t="s">
        <v>27</v>
      </c>
      <c r="S18" s="130"/>
      <c r="T18" s="90">
        <f>Cálculos!C39</f>
        <v>0.82025316455696196</v>
      </c>
      <c r="U18" s="91">
        <f>Cálculos!D39</f>
        <v>0.95696202531645558</v>
      </c>
      <c r="V18"/>
      <c r="Y18"/>
    </row>
    <row r="19" spans="1:33" ht="15.75" thickBot="1">
      <c r="B19" s="148"/>
      <c r="C19" s="66">
        <v>9</v>
      </c>
      <c r="D19" s="76">
        <f>Cálculos!L20*Cálculos!M11</f>
        <v>2.2608225633644529E-12</v>
      </c>
      <c r="E19" s="78">
        <f>Cálculos!L20*Cálculos!M12</f>
        <v>2.5962256069420657E-12</v>
      </c>
      <c r="F19" s="78">
        <f>Cálculos!L20*Cálculos!M13</f>
        <v>1.490693588998634E-12</v>
      </c>
      <c r="G19" s="78">
        <f>Cálculos!L20*Cálculos!M14</f>
        <v>5.7061486242175561E-13</v>
      </c>
      <c r="H19" s="78">
        <f>Cálculos!L20*Cálculos!M15</f>
        <v>1.6381702632563819E-13</v>
      </c>
      <c r="I19" s="78">
        <f>Cálculos!L20*Cálculos!M16</f>
        <v>3.7624001590536446E-14</v>
      </c>
      <c r="J19" s="78">
        <f>Cálculos!L20*Cálculos!M17</f>
        <v>7.2009481525178609E-15</v>
      </c>
      <c r="K19" s="78">
        <f>Cálculos!L20*Cálculos!M18</f>
        <v>1.1813201019826769E-15</v>
      </c>
      <c r="L19" s="100">
        <f>Cálculos!L20*Cálculos!M19</f>
        <v>1.6957177160105766E-16</v>
      </c>
      <c r="M19" s="103">
        <f>Cálculos!L20*Cálculos!M20</f>
        <v>2.1636499465046344E-17</v>
      </c>
      <c r="N19" s="98">
        <f>Cálculos!L20*Cálculos!M21</f>
        <v>2.4846370018594987E-18</v>
      </c>
      <c r="R19" s="129" t="s">
        <v>77</v>
      </c>
      <c r="S19" s="130"/>
      <c r="T19" s="90">
        <f>Cálculos!C40</f>
        <v>0.82025316455696207</v>
      </c>
      <c r="U19" s="91">
        <f>Cálculos!D40</f>
        <v>0.20506329113924049</v>
      </c>
      <c r="V19"/>
      <c r="Y19"/>
      <c r="Z19"/>
      <c r="AA19" s="169" t="s">
        <v>98</v>
      </c>
      <c r="AB19" s="167"/>
      <c r="AC19" s="167" t="s">
        <v>99</v>
      </c>
      <c r="AD19" s="168"/>
    </row>
    <row r="20" spans="1:33" ht="15.75" thickBot="1">
      <c r="B20" s="149"/>
      <c r="C20" s="67">
        <v>10</v>
      </c>
      <c r="D20" s="85">
        <f>Cálculos!L21*Cálculos!M11</f>
        <v>5.5633405863044253E-14</v>
      </c>
      <c r="E20" s="79">
        <f>Cálculos!L21*Cálculos!M12</f>
        <v>6.3886868099941446E-14</v>
      </c>
      <c r="F20" s="79">
        <f>Cálculos!L21*Cálculos!M13</f>
        <v>3.6682384012827138E-14</v>
      </c>
      <c r="G20" s="79">
        <f>Cálculos!L21*Cálculos!M14</f>
        <v>1.4041459399340413E-14</v>
      </c>
      <c r="H20" s="79">
        <f>Cálculos!L21*Cálculos!M15</f>
        <v>4.0311430275574757E-15</v>
      </c>
      <c r="I20" s="79">
        <f>Cálculos!L21*Cálculos!M16</f>
        <v>9.2583619103801056E-16</v>
      </c>
      <c r="J20" s="79">
        <f>Cálculos!L21*Cálculos!M17</f>
        <v>1.7719801529740149E-16</v>
      </c>
      <c r="K20" s="79">
        <f>Cálculos!L21*Cálculos!M18</f>
        <v>2.9069446560181308E-17</v>
      </c>
      <c r="L20" s="79">
        <f>Cálculos!L21*Cálculos!M19</f>
        <v>4.1727534682589368E-18</v>
      </c>
      <c r="M20" s="101">
        <f>Cálculos!L21*Cálculos!M20</f>
        <v>5.3242221468417829E-19</v>
      </c>
      <c r="N20" s="103">
        <f>Cálculos!L21*Cálculos!M21</f>
        <v>6.1140940906517276E-20</v>
      </c>
      <c r="R20" s="153" t="s">
        <v>78</v>
      </c>
      <c r="S20" s="154"/>
      <c r="T20" s="92">
        <f>Cálculos!C41</f>
        <v>0.24607594936708857</v>
      </c>
      <c r="U20" s="93">
        <f>Cálculos!D41</f>
        <v>1.1483544303797468</v>
      </c>
      <c r="V20"/>
      <c r="Y20"/>
      <c r="Z20"/>
      <c r="AA20" s="163">
        <f>SUM(D10:D20,E11:E20,F12:F20,G13:G20,H14:H20,I15:I20,J16:J20,K17:K20,L18:L20,M19:M20,N20)</f>
        <v>0.40215745496804656</v>
      </c>
      <c r="AB20" s="164"/>
      <c r="AC20" s="165">
        <f>SUM(D10:N10,E11:N11,F12:N12,G13:N13,H14:N14,I15:N15,J16:N16,K17:N17,L18:N18,M19:N19,N20)</f>
        <v>0.92099972137412234</v>
      </c>
      <c r="AD20" s="166"/>
    </row>
    <row r="21" spans="1:33" ht="15.75" thickBot="1">
      <c r="AB21" s="170">
        <f>SUM(D10,E11,F12,G13,H14,I15,J16,K17,L18,M19,N20)</f>
        <v>0.32315627857926404</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L27" sqref="L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112</v>
      </c>
      <c r="J4" s="182"/>
      <c r="K4" s="182"/>
      <c r="L4" s="179"/>
      <c r="M4" s="182" t="s">
        <v>113</v>
      </c>
      <c r="N4" s="182"/>
      <c r="O4" s="183"/>
    </row>
    <row r="5" spans="1:26" ht="15.75" thickBot="1">
      <c r="J5" s="172" t="s">
        <v>114</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94</v>
      </c>
      <c r="Q10" s="14" t="s">
        <v>95</v>
      </c>
      <c r="R10" s="14" t="s">
        <v>92</v>
      </c>
      <c r="T10" s="195" t="s">
        <v>93</v>
      </c>
      <c r="U10" s="195"/>
      <c r="V10" s="195"/>
      <c r="W10" s="195"/>
      <c r="X10" s="195"/>
      <c r="Y10" s="195"/>
      <c r="Z10" s="195"/>
    </row>
    <row r="11" spans="1:26" ht="15.75" thickBot="1">
      <c r="C11" s="22" t="s">
        <v>11</v>
      </c>
      <c r="D11" s="23" t="s">
        <v>12</v>
      </c>
      <c r="E11" s="7"/>
      <c r="H11" s="30" t="s">
        <v>12</v>
      </c>
      <c r="I11" s="31" t="s">
        <v>11</v>
      </c>
      <c r="K11" s="24" t="s">
        <v>16</v>
      </c>
      <c r="L11" s="52">
        <f>((C41^0)*(2.71828^(-C41)))/FACT(0)</f>
        <v>0.78186297009931471</v>
      </c>
      <c r="M11" s="53">
        <f>((D41^0)*(2.71828^(-D41)))/FACT(0)</f>
        <v>0.31715849115990064</v>
      </c>
      <c r="P11" s="34">
        <v>12</v>
      </c>
      <c r="Q11" s="35">
        <v>12</v>
      </c>
      <c r="R11" s="110">
        <v>5</v>
      </c>
      <c r="T11" s="195"/>
      <c r="U11" s="195"/>
      <c r="V11" s="195"/>
      <c r="W11" s="195"/>
      <c r="X11" s="195"/>
      <c r="Y11" s="195"/>
      <c r="Z11" s="195"/>
    </row>
    <row r="12" spans="1:26">
      <c r="B12">
        <v>1</v>
      </c>
      <c r="C12" s="40">
        <v>2</v>
      </c>
      <c r="D12" s="41">
        <v>1</v>
      </c>
      <c r="G12">
        <v>1</v>
      </c>
      <c r="H12" s="40">
        <v>0</v>
      </c>
      <c r="I12" s="41">
        <v>1</v>
      </c>
      <c r="K12" s="24" t="s">
        <v>17</v>
      </c>
      <c r="L12" s="52">
        <f>((C41^1)*(2.71828^(-C41)))/FACT(1)</f>
        <v>0.19239767264216046</v>
      </c>
      <c r="M12" s="53">
        <f>((D41^1)*(2.71828^(-D41)))/FACT(1)</f>
        <v>0.36421035845602767</v>
      </c>
      <c r="P12" s="36">
        <v>7</v>
      </c>
      <c r="Q12" s="37">
        <v>7</v>
      </c>
      <c r="R12" s="111">
        <v>4</v>
      </c>
      <c r="T12" s="195"/>
      <c r="U12" s="195"/>
      <c r="V12" s="195"/>
      <c r="W12" s="195"/>
      <c r="X12" s="195"/>
      <c r="Y12" s="195"/>
      <c r="Z12" s="195"/>
    </row>
    <row r="13" spans="1:26">
      <c r="B13">
        <v>2</v>
      </c>
      <c r="C13" s="42">
        <v>0</v>
      </c>
      <c r="D13" s="37">
        <v>2</v>
      </c>
      <c r="G13">
        <v>2</v>
      </c>
      <c r="H13" s="42">
        <v>1</v>
      </c>
      <c r="I13" s="37">
        <v>0</v>
      </c>
      <c r="K13" s="24" t="s">
        <v>18</v>
      </c>
      <c r="L13" s="52">
        <f>((C41^2)*(2.71828^(-C41)))/FACT(2)</f>
        <v>2.3672219975718979E-2</v>
      </c>
      <c r="M13" s="53">
        <f>((D41^2)*(2.71828^(-D41)))/FACT(2)</f>
        <v>0.2091212893615875</v>
      </c>
      <c r="P13" s="36">
        <v>7</v>
      </c>
      <c r="Q13" s="37">
        <v>7</v>
      </c>
      <c r="R13" s="111">
        <v>5</v>
      </c>
      <c r="T13" s="195"/>
      <c r="U13" s="195"/>
      <c r="V13" s="195"/>
      <c r="W13" s="195"/>
      <c r="X13" s="195"/>
      <c r="Y13" s="195"/>
      <c r="Z13" s="195"/>
    </row>
    <row r="14" spans="1:26">
      <c r="B14">
        <v>3</v>
      </c>
      <c r="C14" s="42"/>
      <c r="D14" s="37"/>
      <c r="G14">
        <v>3</v>
      </c>
      <c r="H14" s="42">
        <v>1</v>
      </c>
      <c r="I14" s="37">
        <v>1</v>
      </c>
      <c r="K14" s="24" t="s">
        <v>19</v>
      </c>
      <c r="L14" s="52">
        <f>((C41^3)*(2.71828^(-C41)))/FACT(3)</f>
        <v>1.9417213347172021E-3</v>
      </c>
      <c r="M14" s="53">
        <f>((D41^3)*(2.71828^(-D41)))/FACT(3)</f>
        <v>8.0048453041701342E-2</v>
      </c>
      <c r="P14" s="36">
        <v>10</v>
      </c>
      <c r="Q14" s="37">
        <v>10</v>
      </c>
      <c r="R14" s="111">
        <v>4</v>
      </c>
    </row>
    <row r="15" spans="1:26">
      <c r="B15">
        <v>4</v>
      </c>
      <c r="C15" s="42"/>
      <c r="D15" s="37"/>
      <c r="G15">
        <v>4</v>
      </c>
      <c r="H15" s="42">
        <v>0</v>
      </c>
      <c r="I15" s="37">
        <v>2</v>
      </c>
      <c r="K15" s="24" t="s">
        <v>21</v>
      </c>
      <c r="L15" s="52">
        <f>((C41^4)*(2.71828^(-C41)))/FACT(4)</f>
        <v>1.1945273021171645E-4</v>
      </c>
      <c r="M15" s="53">
        <f>((D41^4)*(2.71828^(-D41)))/FACT(4)</f>
        <v>2.2980998923870715E-2</v>
      </c>
      <c r="P15" s="36">
        <v>4</v>
      </c>
      <c r="Q15" s="37">
        <v>4</v>
      </c>
      <c r="R15" s="111">
        <v>4</v>
      </c>
    </row>
    <row r="16" spans="1:26">
      <c r="B16">
        <v>5</v>
      </c>
      <c r="C16" s="42"/>
      <c r="D16" s="37"/>
      <c r="G16">
        <v>5</v>
      </c>
      <c r="H16" s="42"/>
      <c r="I16" s="37"/>
      <c r="K16" s="24" t="s">
        <v>20</v>
      </c>
      <c r="L16" s="52">
        <f>((C41^5)*(2.71828^(-C41)))/FACT(5)</f>
        <v>5.8788887982677649E-6</v>
      </c>
      <c r="M16" s="53">
        <f>((D41^5)*(2.71828^(-D41)))/FACT(5)</f>
        <v>5.2780663857558262E-3</v>
      </c>
      <c r="P16" s="36">
        <v>8</v>
      </c>
      <c r="Q16" s="37">
        <v>8</v>
      </c>
      <c r="R16" s="111">
        <v>5</v>
      </c>
    </row>
    <row r="17" spans="2:18">
      <c r="B17">
        <v>6</v>
      </c>
      <c r="C17" s="42"/>
      <c r="D17" s="37"/>
      <c r="G17">
        <v>6</v>
      </c>
      <c r="H17" s="42"/>
      <c r="I17" s="37"/>
      <c r="K17" s="69" t="s">
        <v>22</v>
      </c>
      <c r="L17" s="70">
        <f>((C41^6)*(2.71828^(-C41)))/FACT(6)</f>
        <v>2.4110885704288046E-7</v>
      </c>
      <c r="M17" s="71">
        <f>((D41^6)*(2.71828^(-D41)))/FACT(6)</f>
        <v>1.0101818196535199E-3</v>
      </c>
      <c r="P17" s="36">
        <v>7</v>
      </c>
      <c r="Q17" s="37">
        <v>7</v>
      </c>
      <c r="R17" s="111">
        <v>5</v>
      </c>
    </row>
    <row r="18" spans="2:18">
      <c r="B18">
        <v>7</v>
      </c>
      <c r="C18" s="42"/>
      <c r="D18" s="37"/>
      <c r="G18">
        <v>7</v>
      </c>
      <c r="H18" s="42"/>
      <c r="I18" s="37"/>
      <c r="K18" s="72" t="s">
        <v>82</v>
      </c>
      <c r="L18" s="52">
        <f>((C41^7)*(2.71828^(-C41)))/FACT(7)</f>
        <v>8.4758701282343519E-9</v>
      </c>
      <c r="M18" s="53">
        <f>((D41^7)*(2.71828^(-D41)))/FACT(7)</f>
        <v>1.6572096686974202E-4</v>
      </c>
      <c r="P18" s="36">
        <v>6</v>
      </c>
      <c r="Q18" s="37">
        <v>6</v>
      </c>
      <c r="R18" s="111">
        <v>4</v>
      </c>
    </row>
    <row r="19" spans="2:18">
      <c r="B19">
        <v>8</v>
      </c>
      <c r="C19" s="42"/>
      <c r="D19" s="37"/>
      <c r="G19">
        <v>8</v>
      </c>
      <c r="H19" s="42"/>
      <c r="I19" s="37"/>
      <c r="K19" s="72" t="s">
        <v>83</v>
      </c>
      <c r="L19" s="52">
        <f>((C41^8)*(2.71828^(-C41)))/FACT(8)</f>
        <v>2.6071347356467681E-10</v>
      </c>
      <c r="M19" s="53">
        <f>((D41^8)*(2.71828^(-D41)))/FACT(8)</f>
        <v>2.3788300813960435E-5</v>
      </c>
      <c r="P19" s="36">
        <v>5</v>
      </c>
      <c r="Q19" s="37">
        <v>5</v>
      </c>
      <c r="R19" s="111">
        <v>4</v>
      </c>
    </row>
    <row r="20" spans="2:18">
      <c r="B20">
        <v>9</v>
      </c>
      <c r="C20" s="42"/>
      <c r="D20" s="37"/>
      <c r="G20">
        <v>9</v>
      </c>
      <c r="H20" s="42"/>
      <c r="I20" s="37"/>
      <c r="K20" s="72" t="s">
        <v>84</v>
      </c>
      <c r="L20" s="52">
        <f>((C41^9)*(2.71828^(-C41)))/FACT(9)</f>
        <v>7.128368391135467E-12</v>
      </c>
      <c r="M20" s="53">
        <f>((D41^9)*(2.71828^(-D41)))/FACT(9)</f>
        <v>3.0352667367686223E-6</v>
      </c>
      <c r="P20" s="36">
        <v>6</v>
      </c>
      <c r="Q20" s="37">
        <v>6</v>
      </c>
      <c r="R20" s="111">
        <v>5</v>
      </c>
    </row>
    <row r="21" spans="2:18" ht="15.75" thickBot="1">
      <c r="B21">
        <v>10</v>
      </c>
      <c r="C21" s="42"/>
      <c r="D21" s="37"/>
      <c r="G21">
        <v>10</v>
      </c>
      <c r="H21" s="42"/>
      <c r="I21" s="37"/>
      <c r="K21" s="73" t="s">
        <v>85</v>
      </c>
      <c r="L21" s="50">
        <f>((C41^10)*(2.71828^(-C41)))/FACT(10)</f>
        <v>1.7541200192870057E-13</v>
      </c>
      <c r="M21" s="51">
        <f>((D41^10)*(2.71828^(-D41)))/FACT(10)</f>
        <v>3.4855620045525239E-7</v>
      </c>
      <c r="P21" s="36">
        <v>4</v>
      </c>
      <c r="Q21" s="37">
        <v>4</v>
      </c>
      <c r="R21" s="111">
        <v>5</v>
      </c>
    </row>
    <row r="22" spans="2:18">
      <c r="B22">
        <v>11</v>
      </c>
      <c r="C22" s="42"/>
      <c r="D22" s="37"/>
      <c r="G22">
        <v>11</v>
      </c>
      <c r="H22" s="42"/>
      <c r="I22" s="37"/>
      <c r="P22" s="36">
        <v>3</v>
      </c>
      <c r="Q22" s="37">
        <v>3</v>
      </c>
      <c r="R22" s="111">
        <v>4</v>
      </c>
    </row>
    <row r="23" spans="2:18" ht="15.75" thickBot="1">
      <c r="B23">
        <v>12</v>
      </c>
      <c r="C23" s="42"/>
      <c r="D23" s="37"/>
      <c r="G23">
        <v>12</v>
      </c>
      <c r="H23" s="42"/>
      <c r="I23" s="37"/>
      <c r="P23" s="36"/>
      <c r="Q23" s="37"/>
      <c r="R23" s="111"/>
    </row>
    <row r="24" spans="2:18">
      <c r="B24">
        <v>13</v>
      </c>
      <c r="C24" s="42"/>
      <c r="D24" s="37"/>
      <c r="G24">
        <v>13</v>
      </c>
      <c r="H24" s="42"/>
      <c r="I24" s="37"/>
      <c r="K24" s="196" t="s">
        <v>100</v>
      </c>
      <c r="L24" s="197"/>
      <c r="M24" s="198"/>
      <c r="P24" s="36"/>
      <c r="Q24" s="37"/>
      <c r="R24" s="111"/>
    </row>
    <row r="25" spans="2:18">
      <c r="B25">
        <v>14</v>
      </c>
      <c r="C25" s="42"/>
      <c r="D25" s="37"/>
      <c r="G25">
        <v>14</v>
      </c>
      <c r="H25" s="42"/>
      <c r="I25" s="37"/>
      <c r="K25" s="199" t="s">
        <v>105</v>
      </c>
      <c r="L25" s="200" t="s">
        <v>101</v>
      </c>
      <c r="M25" s="201" t="s">
        <v>102</v>
      </c>
      <c r="P25" s="36"/>
      <c r="Q25" s="37"/>
      <c r="R25" s="111"/>
    </row>
    <row r="26" spans="2:18">
      <c r="B26">
        <v>15</v>
      </c>
      <c r="C26" s="42"/>
      <c r="D26" s="37"/>
      <c r="G26">
        <v>15</v>
      </c>
      <c r="H26" s="42"/>
      <c r="I26" s="37"/>
      <c r="K26" s="202" t="s">
        <v>103</v>
      </c>
      <c r="L26" s="204">
        <v>2</v>
      </c>
      <c r="M26" s="205">
        <v>0</v>
      </c>
      <c r="P26" s="36"/>
      <c r="Q26" s="37"/>
      <c r="R26" s="111"/>
    </row>
    <row r="27" spans="2:18" ht="15.75" thickBot="1">
      <c r="B27">
        <v>16</v>
      </c>
      <c r="C27" s="43"/>
      <c r="D27" s="39"/>
      <c r="G27">
        <v>16</v>
      </c>
      <c r="H27" s="43"/>
      <c r="I27" s="39"/>
      <c r="K27" s="203" t="s">
        <v>104</v>
      </c>
      <c r="L27" s="206">
        <v>4</v>
      </c>
      <c r="M27" s="207">
        <v>0</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2</v>
      </c>
      <c r="D31" s="9">
        <f>SUM(D12:D30)</f>
        <v>3</v>
      </c>
      <c r="G31" s="27" t="s">
        <v>13</v>
      </c>
      <c r="H31" s="28">
        <f>SUM(H12:H30)</f>
        <v>2</v>
      </c>
      <c r="I31" s="29">
        <f>SUM(I12:I30)</f>
        <v>4</v>
      </c>
      <c r="P31" s="36"/>
      <c r="Q31" s="37"/>
      <c r="R31" s="111"/>
    </row>
    <row r="32" spans="2:18" ht="15.75" thickBot="1">
      <c r="B32" s="14" t="s">
        <v>15</v>
      </c>
      <c r="C32" s="10">
        <f>COUNT(C12:C30)</f>
        <v>2</v>
      </c>
      <c r="G32" s="14" t="s">
        <v>15</v>
      </c>
      <c r="H32" s="26">
        <f>COUNT(H12:H30)</f>
        <v>4</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C31/C32*(1+L26/10)*(1-M26/10)</f>
        <v>1.2</v>
      </c>
      <c r="G35" s="143" t="s">
        <v>2</v>
      </c>
      <c r="H35" s="144"/>
      <c r="I35" s="11" t="s">
        <v>4</v>
      </c>
      <c r="J35" s="3">
        <f>I31/H32*(1+L27/10)*(1-M27/10)</f>
        <v>1.4</v>
      </c>
      <c r="P35" s="36"/>
      <c r="Q35" s="37"/>
      <c r="R35" s="111"/>
    </row>
    <row r="36" spans="1:21" ht="15.75" thickBot="1">
      <c r="B36" s="145" t="s">
        <v>3</v>
      </c>
      <c r="C36" s="146"/>
      <c r="D36" s="12" t="s">
        <v>4</v>
      </c>
      <c r="E36" s="2">
        <f>D31/C32*(1-L26/10)*(1+M26/10)</f>
        <v>1.2000000000000002</v>
      </c>
      <c r="G36" s="145" t="s">
        <v>3</v>
      </c>
      <c r="H36" s="146"/>
      <c r="I36" s="12" t="s">
        <v>4</v>
      </c>
      <c r="J36" s="2">
        <f>H31/H32*(1-L27/10)*(1+M27/10)</f>
        <v>0.3</v>
      </c>
      <c r="P36" s="36"/>
      <c r="Q36" s="37"/>
      <c r="R36" s="111"/>
    </row>
    <row r="37" spans="1:21" ht="15.75" thickBot="1">
      <c r="P37" s="38"/>
      <c r="Q37" s="39"/>
      <c r="R37" s="112"/>
    </row>
    <row r="38" spans="1:21" ht="15.75" thickBot="1">
      <c r="B38" s="60"/>
      <c r="C38" s="61" t="s">
        <v>0</v>
      </c>
      <c r="D38" s="62" t="s">
        <v>1</v>
      </c>
      <c r="O38" s="114" t="s">
        <v>24</v>
      </c>
      <c r="P38" s="13">
        <f>SUM(P11:P37)</f>
        <v>79</v>
      </c>
      <c r="Q38" s="113">
        <f>SUM(Q11:Q37)</f>
        <v>79</v>
      </c>
    </row>
    <row r="39" spans="1:21" ht="15.75" thickBot="1">
      <c r="B39" s="63" t="s">
        <v>27</v>
      </c>
      <c r="C39" s="64">
        <f>E35/P41</f>
        <v>0.82025316455696196</v>
      </c>
      <c r="D39" s="65">
        <f>J35/Q41</f>
        <v>0.95696202531645558</v>
      </c>
      <c r="I39" t="s">
        <v>108</v>
      </c>
      <c r="K39" t="s">
        <v>109</v>
      </c>
      <c r="O39" s="14" t="s">
        <v>25</v>
      </c>
      <c r="P39" s="187">
        <f>SUM(R11:R37)</f>
        <v>54</v>
      </c>
      <c r="Q39" s="188"/>
    </row>
    <row r="40" spans="1:21" ht="15.75" thickBot="1">
      <c r="B40" s="18" t="s">
        <v>77</v>
      </c>
      <c r="C40" s="20">
        <f>E36/Q41</f>
        <v>0.82025316455696207</v>
      </c>
      <c r="D40" s="21">
        <f>J36/P41</f>
        <v>0.20506329113924049</v>
      </c>
      <c r="E40" t="s">
        <v>106</v>
      </c>
      <c r="I40" t="s">
        <v>107</v>
      </c>
      <c r="O40" s="14" t="s">
        <v>26</v>
      </c>
      <c r="P40" s="189">
        <f>COUNT(P11:P37)</f>
        <v>12</v>
      </c>
      <c r="Q40" s="190"/>
    </row>
    <row r="41" spans="1:21" ht="15.75" thickBot="1">
      <c r="B41" s="18" t="s">
        <v>78</v>
      </c>
      <c r="C41" s="20">
        <f>C39*D40*P41</f>
        <v>0.24607594936708857</v>
      </c>
      <c r="D41" s="21">
        <f>C40*D39*Q41</f>
        <v>1.1483544303797468</v>
      </c>
      <c r="O41" s="14" t="s">
        <v>35</v>
      </c>
      <c r="P41" s="19">
        <f>P38/(P39)</f>
        <v>1.462962962962963</v>
      </c>
      <c r="Q41" s="113">
        <f>Q38/(P39)</f>
        <v>1.462962962962963</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2018-06-03T16:02:53Z</dcterms:modified>
</cp:coreProperties>
</file>