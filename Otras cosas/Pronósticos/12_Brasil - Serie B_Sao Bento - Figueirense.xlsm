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P37" i="2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<sst xmlns="http://schemas.openxmlformats.org/spreadsheetml/2006/main" count="76" uniqueCount="49">
  <si>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</si>
  <si>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</si>
  <si>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</si>
  <si>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</si>
  <si>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</si>
  <si>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</si>
  <si>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</si>
  <si>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</si>
  <si>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</si>
  <si>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</si>
  <si>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</si>
  <si>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</si>
  <si>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</si>
  <si>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</si>
  <si>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</si>
  <si>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</si>
  <si>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</si>
  <si>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</si>
  <si>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</si>
  <si>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</si>
  <si>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</si>
  <si>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</si>
  <si>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</si>
  <si>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</si>
  <si>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</si>
  <si>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</si>
  <si>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</si>
  <si>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</si>
  <si>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</si>
  <si>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</si>
  <si>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</si>
  <si>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</si>
  <si>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</si>
  <si>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</si>
  <si>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</si>
  <si>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</si>
  <si>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</si>
  <si>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</si>
  <si>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</si>
  <si>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</si>
  <si>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</si>
  <si>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</si>
  <si>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</si>
  <si>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</si>
  <si>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1-1</t>
  </si>
  <si>
    <t>1-2</t>
  </si>
  <si>
    <t>Sao Bento</t>
  </si>
  <si>
    <t>Figueirense</t>
  </si>
  <si>
    <t>Brasil - Serie B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</si>
</sst>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05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K17" sqref="K17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13</v>
      </c>
    </row>
    <row r="2" spans="1:20">
      <c r="F2" s="76" t="s">
        <v>38</v>
      </c>
      <c r="G2" s="74"/>
      <c r="H2" s="74"/>
      <c r="I2" s="80" t="s">
        <v>33</v>
      </c>
      <c r="J2" s="74" t="s">
        <v>39</v>
      </c>
      <c r="K2" s="74"/>
      <c r="L2" s="75"/>
    </row>
    <row r="3" spans="1:20" ht="15.75" thickBot="1">
      <c r="F3" s="79" t="str">
        <f>Cálculos!I4</f>
        <v>Sao Bento</v>
      </c>
      <c r="G3" s="77"/>
      <c r="H3" s="77"/>
      <c r="I3" s="81"/>
      <c r="J3" s="77" t="str">
        <f>Cálculos!M4</f>
        <v>Figueirense</v>
      </c>
      <c r="K3" s="77"/>
      <c r="L3" s="78"/>
    </row>
    <row r="4" spans="1:20" ht="15.75" thickBot="1">
      <c r="G4" s="71" t="str">
        <f>Cálculos!J5</f>
        <v>Brasil - Serie B</v>
      </c>
      <c r="H4" s="72"/>
      <c r="I4" s="72"/>
      <c r="J4" s="72"/>
      <c r="K4" s="73"/>
    </row>
    <row r="6" spans="1:20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</row>
    <row r="7" spans="1:20" ht="15.75" thickBot="1"/>
    <row r="8" spans="1:20">
      <c r="B8" s="60" t="s">
        <v>5</v>
      </c>
      <c r="C8" s="61"/>
      <c r="D8" s="61"/>
      <c r="E8" s="62"/>
      <c r="G8" s="60" t="s">
        <v>6</v>
      </c>
      <c r="H8" s="61"/>
      <c r="I8" s="61"/>
      <c r="J8" s="62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66" t="s">
        <v>2</v>
      </c>
      <c r="C9" s="67"/>
      <c r="D9" s="11" t="s">
        <v>4</v>
      </c>
      <c r="E9" s="3">
        <f>Cálculos!E32</f>
        <v>1.6666666666666667</v>
      </c>
      <c r="G9" s="66" t="s">
        <v>2</v>
      </c>
      <c r="H9" s="67"/>
      <c r="I9" s="11" t="s">
        <v>4</v>
      </c>
      <c r="J9" s="3">
        <f>Cálculos!J32</f>
        <v>2.1666666666666665</v>
      </c>
      <c r="L9" s="20" t="s">
        <v>29</v>
      </c>
      <c r="M9" s="23">
        <f>Cálculos!C36</f>
        <v>3.4920634920634925</v>
      </c>
      <c r="N9" s="24">
        <f>Cálculos!D36</f>
        <v>6.3555555555555552</v>
      </c>
      <c r="P9" s="70"/>
      <c r="Q9" s="70"/>
      <c r="R9" s="70"/>
      <c r="S9" s="70"/>
      <c r="T9" s="70"/>
    </row>
    <row r="10" spans="1:20" ht="15.75" thickBot="1">
      <c r="B10" s="68" t="s">
        <v>3</v>
      </c>
      <c r="C10" s="69"/>
      <c r="D10" s="12" t="s">
        <v>4</v>
      </c>
      <c r="E10" s="2">
        <f>Cálculos!E33</f>
        <v>1.1666666666666667</v>
      </c>
      <c r="G10" s="68" t="s">
        <v>3</v>
      </c>
      <c r="H10" s="69"/>
      <c r="I10" s="12" t="s">
        <v>4</v>
      </c>
      <c r="J10" s="2">
        <f>Cálculos!J33</f>
        <v>0.83333333333333337</v>
      </c>
      <c r="P10" s="70"/>
      <c r="Q10" s="70"/>
      <c r="R10" s="70"/>
      <c r="S10" s="70"/>
      <c r="T10" s="70"/>
    </row>
    <row r="11" spans="1:20">
      <c r="P11" s="70"/>
      <c r="Q11" s="70"/>
      <c r="R11" s="70"/>
      <c r="S11" s="70"/>
      <c r="T11" s="70"/>
    </row>
    <row r="12" spans="1:20">
      <c r="B12" s="65" t="s">
        <v>30</v>
      </c>
      <c r="C12" s="64" t="s">
        <v>7</v>
      </c>
      <c r="D12" s="64"/>
      <c r="E12" s="64"/>
      <c r="F12" s="64"/>
      <c r="G12" s="64"/>
      <c r="H12" s="64"/>
      <c r="I12" s="64"/>
      <c r="K12" s="35" t="s">
        <v>34</v>
      </c>
      <c r="L12" s="35"/>
      <c r="M12" s="35"/>
      <c r="N12" s="35" t="s">
        <v>35</v>
      </c>
      <c r="O12" s="35"/>
      <c r="P12" s="70"/>
      <c r="Q12" s="70"/>
      <c r="R12" s="70"/>
      <c r="S12" s="70"/>
      <c r="T12" s="70"/>
    </row>
    <row r="13" spans="1:20" ht="15.75" thickBot="1">
      <c r="B13" s="65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44</v>
      </c>
      <c r="L13" s="36"/>
      <c r="M13" s="36" t="s">
        <v>36</v>
      </c>
      <c r="N13" s="36"/>
      <c r="O13" s="36"/>
      <c r="P13" s="70"/>
      <c r="Q13" s="70"/>
      <c r="R13" s="70"/>
      <c r="S13" s="70"/>
      <c r="T13" s="70"/>
    </row>
    <row r="14" spans="1:20">
      <c r="B14" s="16" t="s">
        <v>8</v>
      </c>
      <c r="C14" s="49">
        <f>Cálculos!L11</f>
        <v>0.18887581458382652</v>
      </c>
      <c r="D14" s="50">
        <f>Cálculos!L12</f>
        <v>0.31479302430637757</v>
      </c>
      <c r="E14" s="50">
        <f>Cálculos!L13</f>
        <v>0.26232752025531464</v>
      </c>
      <c r="F14" s="50">
        <f>Cálculos!L14</f>
        <v>0.14573751125295259</v>
      </c>
      <c r="G14" s="50">
        <f>Cálculos!L15</f>
        <v>6.0723963022063586E-2</v>
      </c>
      <c r="H14" s="50">
        <f>Cálculos!L16</f>
        <v>2.024132100735453E-2</v>
      </c>
      <c r="I14" s="51">
        <f>Cálculos!L17</f>
        <v>5.6225891687095922E-3</v>
      </c>
      <c r="K14" s="36" t="s">
        <v>45</v>
      </c>
      <c r="L14" s="36"/>
      <c r="M14" s="36" t="s">
        <v>37</v>
      </c>
      <c r="N14" s="36"/>
      <c r="O14" s="36"/>
      <c r="P14" s="70"/>
      <c r="Q14" s="70"/>
      <c r="R14" s="70"/>
      <c r="S14" s="70"/>
      <c r="T14" s="70"/>
    </row>
    <row r="15" spans="1:20" ht="15.75" thickBot="1">
      <c r="B15" s="16" t="s">
        <v>9</v>
      </c>
      <c r="C15" s="52">
        <f>Cálculos!M11</f>
        <v>0.11455901095249792</v>
      </c>
      <c r="D15" s="53">
        <f>Cálculos!M12</f>
        <v>0.24821119039707881</v>
      </c>
      <c r="E15" s="53">
        <f>Cálculos!M13</f>
        <v>0.26889545626350203</v>
      </c>
      <c r="F15" s="53">
        <f>Cálculos!M14</f>
        <v>0.19420227396808476</v>
      </c>
      <c r="G15" s="53">
        <f>Cálculos!M15</f>
        <v>0.10519289839937924</v>
      </c>
      <c r="H15" s="53">
        <f>Cálculos!M16</f>
        <v>4.5583589306397679E-2</v>
      </c>
      <c r="I15" s="54">
        <f>Cálculos!M17</f>
        <v>1.6460740582865827E-2</v>
      </c>
      <c r="K15" s="36"/>
      <c r="L15" s="36"/>
      <c r="M15" s="36"/>
      <c r="N15" s="36"/>
      <c r="O15" s="36"/>
      <c r="P15" s="70"/>
      <c r="Q15" s="70"/>
      <c r="R15" s="70"/>
      <c r="S15" s="70"/>
      <c r="T15" s="70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I8" sqref="I8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96" t="s">
        <v>41</v>
      </c>
      <c r="C2" s="96"/>
    </row>
    <row r="3" spans="1:22">
      <c r="I3" s="97" t="s">
        <v>38</v>
      </c>
      <c r="J3" s="98"/>
      <c r="K3" s="98"/>
      <c r="L3" s="99" t="s">
        <v>33</v>
      </c>
      <c r="M3" s="98" t="s">
        <v>39</v>
      </c>
      <c r="N3" s="98"/>
      <c r="O3" s="101"/>
    </row>
    <row r="4" spans="1:22" ht="15.75" thickBot="1">
      <c r="I4" s="102" t="s">
        <v>46</v>
      </c>
      <c r="J4" s="103"/>
      <c r="K4" s="103"/>
      <c r="L4" s="100"/>
      <c r="M4" s="103" t="s">
        <v>47</v>
      </c>
      <c r="N4" s="103"/>
      <c r="O4" s="104"/>
    </row>
    <row r="5" spans="1:22" ht="15.75" thickBot="1">
      <c r="J5" s="93" t="s">
        <v>48</v>
      </c>
      <c r="K5" s="94"/>
      <c r="L5" s="94"/>
      <c r="M5" s="94"/>
      <c r="N5" s="95"/>
    </row>
    <row r="6" spans="1:22">
      <c r="A6" s="82" t="s">
        <v>31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2" ht="15.75" thickBo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</row>
    <row r="8" spans="1:22" ht="15.75" thickTop="1"/>
    <row r="9" spans="1:22" ht="15.75" thickBot="1">
      <c r="P9" s="84" t="s">
        <v>23</v>
      </c>
      <c r="Q9" s="84"/>
    </row>
    <row r="10" spans="1:22" ht="15.75" thickBot="1">
      <c r="C10" s="89" t="s">
        <v>10</v>
      </c>
      <c r="D10" s="90"/>
      <c r="H10" s="91" t="s">
        <v>14</v>
      </c>
      <c r="I10" s="92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0.18887581458382652</v>
      </c>
      <c r="M11" s="56">
        <f>((J32^0)*(2.71828^(-J32)))/FACT(0)</f>
        <v>0.11455901095249792</v>
      </c>
      <c r="P11" s="37">
        <v>16</v>
      </c>
      <c r="Q11" s="38"/>
    </row>
    <row r="12" spans="1:22">
      <c r="C12" s="43">
        <v>2</v>
      </c>
      <c r="D12" s="44">
        <v>2</v>
      </c>
      <c r="H12" s="43">
        <v>1</v>
      </c>
      <c r="I12" s="44">
        <v>4</v>
      </c>
      <c r="K12" s="27" t="s">
        <v>17</v>
      </c>
      <c r="L12" s="55">
        <f>((E32^1)*(2.71828^(-E32)))/FACT(1)</f>
        <v>0.31479302430637757</v>
      </c>
      <c r="M12" s="56">
        <f>((J32^1)*(2.71828^(-J32)))/FACT(1)</f>
        <v>0.24821119039707881</v>
      </c>
      <c r="P12" s="39">
        <v>15</v>
      </c>
      <c r="Q12" s="40"/>
    </row>
    <row r="13" spans="1:22">
      <c r="C13" s="45">
        <v>1</v>
      </c>
      <c r="D13" s="40">
        <v>0</v>
      </c>
      <c r="H13" s="45">
        <v>1</v>
      </c>
      <c r="I13" s="40">
        <v>0</v>
      </c>
      <c r="K13" s="27" t="s">
        <v>18</v>
      </c>
      <c r="L13" s="55">
        <f>((E32^2)*(2.71828^(-E32)))/FACT(2)</f>
        <v>0.26232752025531464</v>
      </c>
      <c r="M13" s="56">
        <f>((J32^2)*(2.71828^(-J32)))/FACT(2)</f>
        <v>0.26889545626350203</v>
      </c>
      <c r="P13" s="39">
        <v>14</v>
      </c>
      <c r="Q13" s="40"/>
    </row>
    <row r="14" spans="1:22">
      <c r="C14" s="45">
        <v>1</v>
      </c>
      <c r="D14" s="40">
        <v>1</v>
      </c>
      <c r="H14" s="45">
        <v>0</v>
      </c>
      <c r="I14" s="40">
        <v>2</v>
      </c>
      <c r="K14" s="27" t="s">
        <v>19</v>
      </c>
      <c r="L14" s="55">
        <f>((E32^3)*(2.71828^(-E32)))/FACT(3)</f>
        <v>0.14573751125295259</v>
      </c>
      <c r="M14" s="56">
        <f>((J32^3)*(2.71828^(-J32)))/FACT(3)</f>
        <v>0.19420227396808476</v>
      </c>
      <c r="P14" s="39">
        <v>8</v>
      </c>
      <c r="Q14" s="40"/>
    </row>
    <row r="15" spans="1:22">
      <c r="C15" s="45">
        <v>2</v>
      </c>
      <c r="D15" s="40">
        <v>1</v>
      </c>
      <c r="H15" s="45">
        <v>0</v>
      </c>
      <c r="I15" s="40">
        <v>2</v>
      </c>
      <c r="K15" s="27" t="s">
        <v>21</v>
      </c>
      <c r="L15" s="55">
        <f>((E32^4)*(2.71828^(-E32)))/FACT(4)</f>
        <v>6.0723963022063586E-2</v>
      </c>
      <c r="M15" s="56">
        <f>((J32^4)*(2.71828^(-J32)))/FACT(4)</f>
        <v>0.10519289839937924</v>
      </c>
      <c r="P15" s="39">
        <v>8</v>
      </c>
      <c r="Q15" s="40"/>
    </row>
    <row r="16" spans="1:22">
      <c r="C16" s="45">
        <v>3</v>
      </c>
      <c r="D16" s="40">
        <v>1</v>
      </c>
      <c r="H16" s="45">
        <v>0</v>
      </c>
      <c r="I16" s="40">
        <v>3</v>
      </c>
      <c r="K16" s="27" t="s">
        <v>20</v>
      </c>
      <c r="L16" s="55">
        <f>((E32^5)*(2.71828^(-E32)))/FACT(5)</f>
        <v>2.024132100735453E-2</v>
      </c>
      <c r="M16" s="56">
        <f>((J32^5)*(2.71828^(-J32)))/FACT(5)</f>
        <v>4.5583589306397679E-2</v>
      </c>
      <c r="P16" s="39">
        <v>11</v>
      </c>
      <c r="Q16" s="40"/>
    </row>
    <row r="17" spans="2:17" ht="15.75" thickBot="1">
      <c r="C17" s="45">
        <v>1</v>
      </c>
      <c r="D17" s="40">
        <v>2</v>
      </c>
      <c r="H17" s="45">
        <v>3</v>
      </c>
      <c r="I17" s="40">
        <v>2</v>
      </c>
      <c r="K17" s="28" t="s">
        <v>22</v>
      </c>
      <c r="L17" s="53">
        <f>((E32^6)*(2.71828^(-E32)))/FACT(6)</f>
        <v>5.6225891687095922E-3</v>
      </c>
      <c r="M17" s="54">
        <f>((J32^6)*(2.71828^(-J32)))/FACT(6)</f>
        <v>1.6460740582865827E-2</v>
      </c>
      <c r="P17" s="39">
        <v>8</v>
      </c>
      <c r="Q17" s="40"/>
    </row>
    <row r="18" spans="2:17">
      <c r="C18" s="45"/>
      <c r="D18" s="40"/>
      <c r="H18" s="45"/>
      <c r="I18" s="40"/>
      <c r="P18" s="39">
        <v>12</v>
      </c>
      <c r="Q18" s="40"/>
    </row>
    <row r="19" spans="2:17">
      <c r="C19" s="45"/>
      <c r="D19" s="40"/>
      <c r="H19" s="45"/>
      <c r="I19" s="40"/>
      <c r="P19" s="39">
        <v>9</v>
      </c>
      <c r="Q19" s="40"/>
    </row>
    <row r="20" spans="2:17">
      <c r="C20" s="45"/>
      <c r="D20" s="40"/>
      <c r="H20" s="45"/>
      <c r="I20" s="40"/>
      <c r="P20" s="39">
        <v>11</v>
      </c>
      <c r="Q20" s="40"/>
    </row>
    <row r="21" spans="2:17">
      <c r="C21" s="45"/>
      <c r="D21" s="40"/>
      <c r="H21" s="45"/>
      <c r="I21" s="40"/>
      <c r="P21" s="39">
        <v>9</v>
      </c>
      <c r="Q21" s="40"/>
    </row>
    <row r="22" spans="2:17">
      <c r="C22" s="45"/>
      <c r="D22" s="40"/>
      <c r="H22" s="45"/>
      <c r="I22" s="40"/>
      <c r="P22" s="39">
        <v>9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4</v>
      </c>
      <c r="Q24" s="40"/>
    </row>
    <row r="25" spans="2:17">
      <c r="C25" s="45"/>
      <c r="D25" s="40"/>
      <c r="H25" s="45"/>
      <c r="I25" s="40"/>
      <c r="P25" s="39">
        <v>5</v>
      </c>
      <c r="Q25" s="40"/>
    </row>
    <row r="26" spans="2:17">
      <c r="C26" s="45"/>
      <c r="D26" s="40"/>
      <c r="H26" s="45"/>
      <c r="I26" s="40"/>
      <c r="P26" s="39">
        <v>8</v>
      </c>
      <c r="Q26" s="40"/>
    </row>
    <row r="27" spans="2:17" ht="15.75" thickBot="1">
      <c r="C27" s="47"/>
      <c r="D27" s="48"/>
      <c r="H27" s="46"/>
      <c r="I27" s="42"/>
      <c r="P27" s="39">
        <v>7</v>
      </c>
      <c r="Q27" s="40"/>
    </row>
    <row r="28" spans="2:17" ht="15.75" thickBot="1">
      <c r="B28" s="14" t="s">
        <v>13</v>
      </c>
      <c r="C28" s="8">
        <f>SUM(C12:C27)</f>
        <v>10</v>
      </c>
      <c r="D28" s="9">
        <f>SUM(D12:D27)</f>
        <v>7</v>
      </c>
      <c r="G28" s="30" t="s">
        <v>13</v>
      </c>
      <c r="H28" s="31">
        <f>SUM(H12:H27)</f>
        <v>5</v>
      </c>
      <c r="I28" s="32">
        <f>SUM(I12:I27)</f>
        <v>13</v>
      </c>
      <c r="P28" s="39">
        <v>4</v>
      </c>
      <c r="Q28" s="40"/>
    </row>
    <row r="29" spans="2:17" ht="15.75" thickBot="1">
      <c r="B29" s="14" t="s">
        <v>15</v>
      </c>
      <c r="C29" s="10">
        <f>COUNT(C12:C27)</f>
        <v>6</v>
      </c>
      <c r="G29" s="14" t="s">
        <v>15</v>
      </c>
      <c r="H29" s="29">
        <f>COUNT(H12:H27)</f>
        <v>6</v>
      </c>
      <c r="P29" s="39">
        <v>5</v>
      </c>
      <c r="Q29" s="40"/>
    </row>
    <row r="30" spans="2:17">
      <c r="P30" s="39">
        <v>4</v>
      </c>
      <c r="Q30" s="40"/>
    </row>
    <row r="31" spans="2:17">
      <c r="B31" s="84" t="s">
        <v>5</v>
      </c>
      <c r="C31" s="84"/>
      <c r="D31" s="84"/>
      <c r="E31" s="84"/>
      <c r="G31" s="84" t="s">
        <v>6</v>
      </c>
      <c r="H31" s="84"/>
      <c r="I31" s="84"/>
      <c r="J31" s="84"/>
      <c r="P31" s="39"/>
      <c r="Q31" s="40"/>
    </row>
    <row r="32" spans="2:17">
      <c r="B32" s="66" t="s">
        <v>2</v>
      </c>
      <c r="C32" s="67"/>
      <c r="D32" s="11" t="s">
        <v>4</v>
      </c>
      <c r="E32" s="3">
        <f>C28/C29</f>
        <v>1.6666666666666667</v>
      </c>
      <c r="G32" s="66" t="s">
        <v>2</v>
      </c>
      <c r="H32" s="67"/>
      <c r="I32" s="11" t="s">
        <v>4</v>
      </c>
      <c r="J32" s="3">
        <f>I28/H29</f>
        <v>2.1666666666666665</v>
      </c>
      <c r="P32" s="39"/>
      <c r="Q32" s="40"/>
    </row>
    <row r="33" spans="1:22" ht="15.75" thickBot="1">
      <c r="B33" s="68" t="s">
        <v>3</v>
      </c>
      <c r="C33" s="69"/>
      <c r="D33" s="12" t="s">
        <v>4</v>
      </c>
      <c r="E33" s="2">
        <f>D28/C29</f>
        <v>1.1666666666666667</v>
      </c>
      <c r="G33" s="68" t="s">
        <v>3</v>
      </c>
      <c r="H33" s="69"/>
      <c r="I33" s="12" t="s">
        <v>4</v>
      </c>
      <c r="J33" s="2">
        <f>H28/H29</f>
        <v>0.83333333333333337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176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3.4920634920634925</v>
      </c>
      <c r="D36" s="24">
        <f>J32*E33*P38</f>
        <v>6.3555555555555552</v>
      </c>
      <c r="O36" s="14" t="s">
        <v>27</v>
      </c>
      <c r="P36" s="85">
        <v>7</v>
      </c>
      <c r="Q36" s="86"/>
    </row>
    <row r="37" spans="1:22" ht="15.75" thickBot="1">
      <c r="O37" s="14" t="s">
        <v>28</v>
      </c>
      <c r="P37" s="87">
        <f>COUNT(P11:P34)</f>
        <v>20</v>
      </c>
      <c r="Q37" s="88"/>
    </row>
    <row r="38" spans="1:22" ht="15.75" thickBot="1">
      <c r="O38" s="14" t="s">
        <v>42</v>
      </c>
      <c r="P38" s="22">
        <f>P35/(P36*(P37/2))</f>
        <v>2.5142857142857142</v>
      </c>
      <c r="Q38" s="21">
        <f>Q35/(P36*P37)</f>
        <v>0</v>
      </c>
    </row>
    <row r="40" spans="1:22">
      <c r="A40" s="82" t="s">
        <v>32</v>
      </c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</row>
    <row r="41" spans="1:22" ht="15.75" thickBot="1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2018-05-29T17:25:19Z</dcterms:modified>
</cp:coreProperties>
</file>