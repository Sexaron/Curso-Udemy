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/>
  </bookViews>
  <sheets>
    <sheet name="Resumen" sheetId="1" r:id="rId1"/>
    <sheet name="Cálculos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J4" i="3"/>
  <c r="P37" i="2" l="1"/>
  <c r="F3" i="1"/>
  <c r="G4"/>
  <c r="J3"/>
  <c r="I28" i="2"/>
  <c r="H28"/>
  <c r="Q35"/>
  <c r="P35"/>
  <c r="H29"/>
  <c r="C29"/>
  <c r="D28"/>
  <c r="C28"/>
  <c r="P38" l="1"/>
  <c r="Q38"/>
  <c r="E32"/>
  <c r="E9" i="1" s="1"/>
  <c r="E33" i="2"/>
  <c r="J33"/>
  <c r="J32"/>
  <c r="E10" i="1" l="1"/>
  <c r="D36" i="2"/>
  <c r="N9" i="1" s="1"/>
  <c r="L13" i="2"/>
  <c r="E14" i="1" s="1"/>
  <c r="L14" i="2"/>
  <c r="F14" i="1" s="1"/>
  <c r="L12" i="2"/>
  <c r="D14" i="1" s="1"/>
  <c r="L17" i="2"/>
  <c r="I14" i="1" s="1"/>
  <c r="L16" i="2"/>
  <c r="H14" i="1" s="1"/>
  <c r="L15" i="2"/>
  <c r="G14" i="1" s="1"/>
  <c r="L11" i="2"/>
  <c r="C14" i="1" s="1"/>
  <c r="J10"/>
  <c r="C36" i="2"/>
  <c r="M9" i="1" s="1"/>
  <c r="J9"/>
  <c r="M16" i="2"/>
  <c r="H15" i="1" s="1"/>
  <c r="M17" i="2"/>
  <c r="I15" i="1" s="1"/>
  <c r="M13" i="2"/>
  <c r="E15" i="1" s="1"/>
  <c r="M14" i="2"/>
  <c r="F15" i="1" s="1"/>
  <c r="M15" i="2"/>
  <c r="G15" i="1" s="1"/>
  <c r="M11" i="2"/>
  <c r="C15" i="1" s="1"/>
  <c r="M12" i="2"/>
  <c r="D15" i="1" s="1"/>
</calcChain>
</file>

<file path=xl/sharedStrings.xml><?xml version="1.0" encoding="utf-8"?>
<sst xmlns="http://schemas.openxmlformats.org/spreadsheetml/2006/main" count="134" uniqueCount="89">
  <si>
    <t>LOCAL</t>
  </si>
  <si>
    <t>VISITANTE</t>
  </si>
  <si>
    <t>Media de goles a favor</t>
  </si>
  <si>
    <t>Media de goles en contra</t>
  </si>
  <si>
    <t>→</t>
  </si>
  <si>
    <t>Equipo Local</t>
  </si>
  <si>
    <t>Equipo Visitante</t>
  </si>
  <si>
    <t>Probabilidad de que maque X goles</t>
  </si>
  <si>
    <t>Eq. Local</t>
  </si>
  <si>
    <t>Eq. Visitante</t>
  </si>
  <si>
    <t>Goles como eq. LOCAL</t>
  </si>
  <si>
    <t>Marcados</t>
  </si>
  <si>
    <t>Encajados</t>
  </si>
  <si>
    <t>Sum. Total</t>
  </si>
  <si>
    <t>Goles como eq. VISITANTE</t>
  </si>
  <si>
    <t>Num. Partidos</t>
  </si>
  <si>
    <t>Prob. 0 Goles</t>
  </si>
  <si>
    <t>Prob. 1 Goles</t>
  </si>
  <si>
    <t>Prob. 2 Goles</t>
  </si>
  <si>
    <t>Prob. 3 Goles</t>
  </si>
  <si>
    <t>Prob. 5 Goles</t>
  </si>
  <si>
    <t>Prob. 4 Goles</t>
  </si>
  <si>
    <t>Prob. 6 Goles</t>
  </si>
  <si>
    <t>LIGA</t>
  </si>
  <si>
    <t>Goles a favor</t>
  </si>
  <si>
    <t>Goles en contra</t>
  </si>
  <si>
    <t>Total de goles</t>
  </si>
  <si>
    <t>Partidos jugados</t>
  </si>
  <si>
    <t>Equipos</t>
  </si>
  <si>
    <t>Fuerza ataque</t>
  </si>
  <si>
    <t>%</t>
  </si>
  <si>
    <t>Partido entero - LOCAL vs VISITANTE</t>
  </si>
  <si>
    <t>Partido por mitades - LOCAL vs VISITANTE</t>
  </si>
  <si>
    <t>VS</t>
  </si>
  <si>
    <t>Resultado esperado</t>
  </si>
  <si>
    <t>Over/Under</t>
  </si>
  <si>
    <t>Over 2,5</t>
  </si>
  <si>
    <t>Under 2,5</t>
  </si>
  <si>
    <t>Equipo LOCAL</t>
  </si>
  <si>
    <t>Equipo VISITANTE</t>
  </si>
  <si>
    <t>Resumen</t>
  </si>
  <si>
    <t>Celdas a rellenar</t>
  </si>
  <si>
    <t>Media G/Partido</t>
  </si>
  <si>
    <t>Informe número -&gt;&gt;</t>
  </si>
  <si>
    <t>1-1</t>
  </si>
  <si>
    <t>Flamengo</t>
  </si>
  <si>
    <t>Bahia</t>
  </si>
  <si>
    <t>      </t>
  </si>
  <si>
    <t>1.</t>
  </si>
  <si>
    <t>Sao Paulo</t>
  </si>
  <si>
    <t>8.</t>
  </si>
  <si>
    <t>Gremio</t>
  </si>
  <si>
    <t>3.</t>
  </si>
  <si>
    <t>Fluminense</t>
  </si>
  <si>
    <t>4.</t>
  </si>
  <si>
    <t>Internacional</t>
  </si>
  <si>
    <t>9.</t>
  </si>
  <si>
    <t>Corinthians</t>
  </si>
  <si>
    <t>10.</t>
  </si>
  <si>
    <t>Palmeiras</t>
  </si>
  <si>
    <t>6.</t>
  </si>
  <si>
    <t>Cruzeiro</t>
  </si>
  <si>
    <t>7.</t>
  </si>
  <si>
    <t>Atlético-MG</t>
  </si>
  <si>
    <t>11.</t>
  </si>
  <si>
    <t>Vasco</t>
  </si>
  <si>
    <t>5.</t>
  </si>
  <si>
    <t>Sport Recife</t>
  </si>
  <si>
    <t>13.</t>
  </si>
  <si>
    <t>Botafogo</t>
  </si>
  <si>
    <t>18.</t>
  </si>
  <si>
    <t>Atlético-PR</t>
  </si>
  <si>
    <t>12.</t>
  </si>
  <si>
    <t>América-MG</t>
  </si>
  <si>
    <t>15.</t>
  </si>
  <si>
    <t>Vitória</t>
  </si>
  <si>
    <t>16.</t>
  </si>
  <si>
    <t>17.</t>
  </si>
  <si>
    <t>Santos</t>
  </si>
  <si>
    <t>14.</t>
  </si>
  <si>
    <t>Chapecoense</t>
  </si>
  <si>
    <t>19.</t>
  </si>
  <si>
    <t>Ceara</t>
  </si>
  <si>
    <t>20.</t>
  </si>
  <si>
    <t>Paraná</t>
  </si>
  <si>
    <t>1-0</t>
  </si>
  <si>
    <t>Corithians</t>
  </si>
  <si>
    <t>Ámerica-MG</t>
  </si>
  <si>
    <t>Brasil Seria A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</si>
</sst>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trike/>
      <sz val="11"/>
      <color rgb="FF9C000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18" applyNumberFormat="0" applyAlignment="0" applyProtection="0"/>
    <xf numFmtId="0" fontId="5" fillId="7" borderId="19" applyNumberFormat="0" applyAlignment="0" applyProtection="0"/>
    <xf numFmtId="0" fontId="6" fillId="7" borderId="18" applyNumberFormat="0" applyAlignment="0" applyProtection="0"/>
    <xf numFmtId="0" fontId="8" fillId="0" borderId="38" applyNumberFormat="0" applyFill="0" applyAlignment="0" applyProtection="0"/>
    <xf numFmtId="0" fontId="9" fillId="8" borderId="0" applyNumberFormat="0" applyBorder="0" applyAlignment="0" applyProtection="0"/>
    <xf numFmtId="9" fontId="13" fillId="0" borderId="0" applyFont="0" applyFill="0" applyBorder="0" applyAlignment="0" applyProtection="0"/>
  </cellStyleXfs>
  <cellXfs count="110">
    <xf numFmtId="0" fontId="0" fillId="0" borderId="0" xfId="0"/>
    <xf numFmtId="0" fontId="0" fillId="4" borderId="0" xfId="0" applyFill="1"/>
    <xf numFmtId="0" fontId="2" fillId="3" borderId="14" xfId="2" applyBorder="1"/>
    <xf numFmtId="0" fontId="1" fillId="2" borderId="17" xfId="1" applyBorder="1"/>
    <xf numFmtId="22" fontId="0" fillId="0" borderId="0" xfId="0" applyNumberFormat="1"/>
    <xf numFmtId="16" fontId="0" fillId="0" borderId="0" xfId="0" applyNumberFormat="1"/>
    <xf numFmtId="17" fontId="0" fillId="0" borderId="0" xfId="0" applyNumberFormat="1"/>
    <xf numFmtId="0" fontId="0" fillId="0" borderId="0" xfId="0" applyAlignment="1">
      <alignment horizontal="center" vertical="center"/>
    </xf>
    <xf numFmtId="0" fontId="1" fillId="2" borderId="22" xfId="1" applyBorder="1" applyAlignment="1">
      <alignment horizontal="center"/>
    </xf>
    <xf numFmtId="0" fontId="2" fillId="3" borderId="23" xfId="2" applyBorder="1" applyAlignment="1">
      <alignment horizontal="center"/>
    </xf>
    <xf numFmtId="0" fontId="0" fillId="0" borderId="21" xfId="0" applyBorder="1" applyAlignment="1">
      <alignment horizontal="center"/>
    </xf>
    <xf numFmtId="0" fontId="1" fillId="2" borderId="15" xfId="1" applyBorder="1" applyAlignment="1">
      <alignment horizontal="center"/>
    </xf>
    <xf numFmtId="0" fontId="2" fillId="3" borderId="13" xfId="2" applyBorder="1" applyAlignment="1">
      <alignment horizontal="center"/>
    </xf>
    <xf numFmtId="0" fontId="1" fillId="2" borderId="21" xfId="1" applyBorder="1" applyAlignment="1">
      <alignment horizontal="center"/>
    </xf>
    <xf numFmtId="0" fontId="5" fillId="7" borderId="19" xfId="5"/>
    <xf numFmtId="0" fontId="4" fillId="6" borderId="18" xfId="4" applyAlignment="1">
      <alignment horizontal="center" vertical="center"/>
    </xf>
    <xf numFmtId="0" fontId="4" fillId="6" borderId="18" xfId="4"/>
    <xf numFmtId="0" fontId="4" fillId="6" borderId="32" xfId="4" applyBorder="1"/>
    <xf numFmtId="0" fontId="4" fillId="6" borderId="33" xfId="4" applyBorder="1" applyAlignment="1">
      <alignment horizontal="center" vertical="center"/>
    </xf>
    <xf numFmtId="0" fontId="4" fillId="6" borderId="34" xfId="4" applyBorder="1" applyAlignment="1">
      <alignment horizontal="center" vertical="center"/>
    </xf>
    <xf numFmtId="0" fontId="4" fillId="6" borderId="36" xfId="4" applyBorder="1" applyAlignment="1">
      <alignment horizontal="left"/>
    </xf>
    <xf numFmtId="0" fontId="7" fillId="3" borderId="21" xfId="2" applyFont="1" applyBorder="1" applyAlignment="1">
      <alignment horizontal="center" vertical="center"/>
    </xf>
    <xf numFmtId="0" fontId="1" fillId="2" borderId="21" xfId="1" applyBorder="1" applyAlignment="1">
      <alignment horizontal="center" vertical="center"/>
    </xf>
    <xf numFmtId="0" fontId="1" fillId="2" borderId="5" xfId="1" applyBorder="1" applyAlignment="1">
      <alignment horizontal="center" vertical="center"/>
    </xf>
    <xf numFmtId="0" fontId="2" fillId="3" borderId="6" xfId="2" applyBorder="1" applyAlignment="1">
      <alignment horizontal="center" vertical="center"/>
    </xf>
    <xf numFmtId="0" fontId="6" fillId="7" borderId="36" xfId="6" applyBorder="1" applyAlignment="1">
      <alignment horizontal="center" vertical="center"/>
    </xf>
    <xf numFmtId="0" fontId="6" fillId="7" borderId="37" xfId="6" applyBorder="1" applyAlignment="1">
      <alignment horizontal="center" vertical="center"/>
    </xf>
    <xf numFmtId="0" fontId="4" fillId="6" borderId="35" xfId="4" applyBorder="1"/>
    <xf numFmtId="0" fontId="4" fillId="6" borderId="36" xfId="4" applyBorder="1"/>
    <xf numFmtId="0" fontId="0" fillId="0" borderId="39" xfId="0" applyBorder="1" applyAlignment="1">
      <alignment horizontal="center"/>
    </xf>
    <xf numFmtId="0" fontId="5" fillId="7" borderId="40" xfId="5" applyBorder="1"/>
    <xf numFmtId="0" fontId="2" fillId="3" borderId="22" xfId="2" applyBorder="1" applyAlignment="1">
      <alignment horizontal="center"/>
    </xf>
    <xf numFmtId="0" fontId="1" fillId="2" borderId="23" xfId="1" applyBorder="1" applyAlignment="1">
      <alignment horizontal="center"/>
    </xf>
    <xf numFmtId="0" fontId="6" fillId="7" borderId="4" xfId="6" applyBorder="1" applyAlignment="1">
      <alignment horizontal="center" vertical="center"/>
    </xf>
    <xf numFmtId="0" fontId="6" fillId="7" borderId="6" xfId="6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26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/>
    </xf>
    <xf numFmtId="0" fontId="0" fillId="9" borderId="24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6" xfId="0" applyFill="1" applyBorder="1" applyAlignment="1">
      <alignment horizontal="center"/>
    </xf>
    <xf numFmtId="10" fontId="0" fillId="0" borderId="1" xfId="9" applyNumberFormat="1" applyFont="1" applyBorder="1"/>
    <xf numFmtId="10" fontId="0" fillId="0" borderId="2" xfId="9" applyNumberFormat="1" applyFont="1" applyBorder="1"/>
    <xf numFmtId="10" fontId="0" fillId="0" borderId="3" xfId="9" applyNumberFormat="1" applyFont="1" applyBorder="1"/>
    <xf numFmtId="10" fontId="0" fillId="0" borderId="4" xfId="9" applyNumberFormat="1" applyFont="1" applyBorder="1"/>
    <xf numFmtId="10" fontId="0" fillId="0" borderId="5" xfId="9" applyNumberFormat="1" applyFont="1" applyBorder="1"/>
    <xf numFmtId="10" fontId="0" fillId="0" borderId="6" xfId="9" applyNumberFormat="1" applyFont="1" applyBorder="1"/>
    <xf numFmtId="10" fontId="0" fillId="0" borderId="20" xfId="9" applyNumberFormat="1" applyFont="1" applyBorder="1"/>
    <xf numFmtId="10" fontId="0" fillId="0" borderId="25" xfId="9" applyNumberFormat="1" applyFont="1" applyBorder="1"/>
    <xf numFmtId="0" fontId="0" fillId="10" borderId="28" xfId="0" applyFill="1" applyBorder="1"/>
    <xf numFmtId="0" fontId="0" fillId="10" borderId="41" xfId="0" applyFill="1" applyBorder="1"/>
    <xf numFmtId="0" fontId="0" fillId="10" borderId="29" xfId="0" applyFill="1" applyBorder="1" applyAlignment="1">
      <alignment horizontal="center" vertical="center"/>
    </xf>
    <xf numFmtId="20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5" fontId="0" fillId="0" borderId="0" xfId="0" applyNumberFormat="1"/>
    <xf numFmtId="45" fontId="0" fillId="0" borderId="0" xfId="0" applyNumberFormat="1" applyAlignment="1">
      <alignment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0" xfId="0" applyFill="1" applyAlignment="1">
      <alignment horizontal="center"/>
    </xf>
    <xf numFmtId="0" fontId="4" fillId="6" borderId="18" xfId="4" applyAlignment="1">
      <alignment horizontal="center" wrapText="1"/>
    </xf>
    <xf numFmtId="0" fontId="4" fillId="6" borderId="18" xfId="4" applyAlignment="1">
      <alignment horizontal="center" vertical="center"/>
    </xf>
    <xf numFmtId="0" fontId="1" fillId="2" borderId="16" xfId="1" applyBorder="1" applyAlignment="1">
      <alignment horizontal="left"/>
    </xf>
    <xf numFmtId="0" fontId="1" fillId="2" borderId="15" xfId="1" applyBorder="1" applyAlignment="1">
      <alignment horizontal="left"/>
    </xf>
    <xf numFmtId="0" fontId="2" fillId="3" borderId="12" xfId="2" applyBorder="1" applyAlignment="1">
      <alignment horizontal="left"/>
    </xf>
    <xf numFmtId="0" fontId="2" fillId="3" borderId="13" xfId="2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2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8" borderId="8" xfId="8" applyBorder="1" applyAlignment="1">
      <alignment horizontal="center"/>
    </xf>
    <xf numFmtId="0" fontId="9" fillId="8" borderId="9" xfId="8" applyBorder="1" applyAlignment="1">
      <alignment horizontal="center"/>
    </xf>
    <xf numFmtId="0" fontId="9" fillId="8" borderId="7" xfId="8" applyBorder="1" applyAlignment="1">
      <alignment horizontal="center"/>
    </xf>
    <xf numFmtId="0" fontId="9" fillId="8" borderId="13" xfId="8" applyBorder="1" applyAlignment="1">
      <alignment horizontal="center"/>
    </xf>
    <xf numFmtId="0" fontId="9" fillId="8" borderId="14" xfId="8" applyBorder="1" applyAlignment="1">
      <alignment horizontal="center"/>
    </xf>
    <xf numFmtId="0" fontId="9" fillId="8" borderId="12" xfId="8" applyBorder="1" applyAlignment="1">
      <alignment horizontal="center"/>
    </xf>
    <xf numFmtId="0" fontId="10" fillId="8" borderId="8" xfId="8" applyFont="1" applyBorder="1" applyAlignment="1">
      <alignment horizontal="center" vertical="center"/>
    </xf>
    <xf numFmtId="0" fontId="10" fillId="8" borderId="13" xfId="8" applyFont="1" applyBorder="1" applyAlignment="1">
      <alignment horizontal="center" vertical="center"/>
    </xf>
    <xf numFmtId="0" fontId="8" fillId="0" borderId="0" xfId="7" applyBorder="1" applyAlignment="1">
      <alignment horizontal="center" vertical="center"/>
    </xf>
    <xf numFmtId="0" fontId="8" fillId="0" borderId="38" xfId="7" applyAlignment="1">
      <alignment horizontal="center" vertical="center"/>
    </xf>
    <xf numFmtId="0" fontId="5" fillId="7" borderId="19" xfId="5" applyAlignment="1">
      <alignment horizontal="center"/>
    </xf>
    <xf numFmtId="0" fontId="3" fillId="9" borderId="10" xfId="3" applyFill="1" applyBorder="1" applyAlignment="1">
      <alignment horizontal="center"/>
    </xf>
    <xf numFmtId="0" fontId="3" fillId="9" borderId="11" xfId="3" applyFill="1" applyBorder="1" applyAlignment="1">
      <alignment horizontal="center"/>
    </xf>
    <xf numFmtId="0" fontId="3" fillId="5" borderId="28" xfId="3" applyBorder="1" applyAlignment="1">
      <alignment horizontal="center"/>
    </xf>
    <xf numFmtId="0" fontId="3" fillId="5" borderId="29" xfId="3" applyBorder="1" applyAlignment="1">
      <alignment horizontal="center"/>
    </xf>
    <xf numFmtId="0" fontId="6" fillId="7" borderId="32" xfId="6" applyBorder="1" applyAlignment="1">
      <alignment horizontal="center"/>
    </xf>
    <xf numFmtId="0" fontId="6" fillId="7" borderId="34" xfId="6" applyBorder="1" applyAlignment="1">
      <alignment horizontal="center"/>
    </xf>
    <xf numFmtId="0" fontId="6" fillId="7" borderId="1" xfId="6" applyBorder="1" applyAlignment="1">
      <alignment horizontal="center"/>
    </xf>
    <xf numFmtId="0" fontId="6" fillId="7" borderId="3" xfId="6" applyBorder="1" applyAlignment="1">
      <alignment horizontal="center"/>
    </xf>
    <xf numFmtId="0" fontId="0" fillId="9" borderId="28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9" fillId="8" borderId="7" xfId="8" applyFont="1" applyBorder="1" applyAlignment="1">
      <alignment horizontal="center"/>
    </xf>
    <xf numFmtId="0" fontId="9" fillId="8" borderId="8" xfId="8" applyFont="1" applyBorder="1" applyAlignment="1">
      <alignment horizontal="center"/>
    </xf>
    <xf numFmtId="0" fontId="11" fillId="8" borderId="8" xfId="8" applyFont="1" applyBorder="1" applyAlignment="1">
      <alignment horizontal="center" vertical="center"/>
    </xf>
    <xf numFmtId="0" fontId="11" fillId="8" borderId="13" xfId="8" applyFont="1" applyBorder="1" applyAlignment="1">
      <alignment horizontal="center" vertical="center"/>
    </xf>
    <xf numFmtId="0" fontId="9" fillId="8" borderId="9" xfId="8" applyFont="1" applyBorder="1" applyAlignment="1">
      <alignment horizontal="center"/>
    </xf>
    <xf numFmtId="0" fontId="12" fillId="9" borderId="12" xfId="8" applyFont="1" applyFill="1" applyBorder="1" applyAlignment="1">
      <alignment horizontal="center"/>
    </xf>
    <xf numFmtId="0" fontId="12" fillId="9" borderId="13" xfId="8" applyFont="1" applyFill="1" applyBorder="1" applyAlignment="1">
      <alignment horizontal="center"/>
    </xf>
    <xf numFmtId="0" fontId="12" fillId="9" borderId="14" xfId="8" applyFont="1" applyFill="1" applyBorder="1" applyAlignment="1">
      <alignment horizontal="center"/>
    </xf>
  </cellXfs>
  <cellStyles count="10">
    <cellStyle name="Buena" xfId="1" builtinId="26"/>
    <cellStyle name="Cálculo" xfId="6" builtinId="22"/>
    <cellStyle name="Celda vinculada" xfId="7" builtinId="24"/>
    <cellStyle name="Énfasis1" xfId="8" builtinId="29"/>
    <cellStyle name="Entrada" xfId="4" builtinId="20"/>
    <cellStyle name="Incorrecto" xfId="2" builtinId="27"/>
    <cellStyle name="Neutral" xfId="3" builtinId="28"/>
    <cellStyle name="Normal" xfId="0" builtinId="0"/>
    <cellStyle name="Porcentual" xfId="9" builtinId="5"/>
    <cellStyle name="Salida" xfId="5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T17"/>
  <sheetViews>
    <sheetView tabSelected="1" workbookViewId="0">
      <selection activeCell="C1" sqref="C1"/>
    </sheetView>
  </sheetViews>
  <sheetFormatPr baseColWidth="10" defaultRowHeight="15"/>
  <cols>
    <col min="2" max="2" width="12" customWidth="1"/>
  </cols>
  <sheetData>
    <row r="1" spans="1:20" ht="15.75" thickBot="1">
      <c r="A1" s="57" t="s">
        <v>43</v>
      </c>
      <c r="B1" s="58"/>
      <c r="C1" s="59">
        <v>17</v>
      </c>
    </row>
    <row r="2" spans="1:20">
      <c r="F2" s="81" t="s">
        <v>38</v>
      </c>
      <c r="G2" s="79"/>
      <c r="H2" s="79"/>
      <c r="I2" s="85" t="s">
        <v>33</v>
      </c>
      <c r="J2" s="79" t="s">
        <v>39</v>
      </c>
      <c r="K2" s="79"/>
      <c r="L2" s="80"/>
    </row>
    <row r="3" spans="1:20" ht="15.75" thickBot="1">
      <c r="F3" s="84" t="str">
        <f>Cálculos!I4</f>
        <v>Corithians</v>
      </c>
      <c r="G3" s="82"/>
      <c r="H3" s="82"/>
      <c r="I3" s="86"/>
      <c r="J3" s="82" t="str">
        <f>Cálculos!M4</f>
        <v>Ámerica-MG</v>
      </c>
      <c r="K3" s="82"/>
      <c r="L3" s="83"/>
    </row>
    <row r="4" spans="1:20" ht="15.75" thickBot="1">
      <c r="G4" s="76" t="str">
        <f>Cálculos!J5</f>
        <v>Brasil Seria A</v>
      </c>
      <c r="H4" s="77"/>
      <c r="I4" s="77"/>
      <c r="J4" s="77"/>
      <c r="K4" s="78"/>
    </row>
    <row r="6" spans="1:20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</row>
    <row r="7" spans="1:20" ht="15.75" thickBot="1"/>
    <row r="8" spans="1:20">
      <c r="B8" s="65" t="s">
        <v>5</v>
      </c>
      <c r="C8" s="66"/>
      <c r="D8" s="66"/>
      <c r="E8" s="67"/>
      <c r="G8" s="65" t="s">
        <v>6</v>
      </c>
      <c r="H8" s="66"/>
      <c r="I8" s="66"/>
      <c r="J8" s="67"/>
      <c r="L8" s="17"/>
      <c r="M8" s="18" t="s">
        <v>0</v>
      </c>
      <c r="N8" s="19" t="s">
        <v>1</v>
      </c>
      <c r="P8" t="s">
        <v>40</v>
      </c>
    </row>
    <row r="9" spans="1:20" ht="15.75" thickBot="1">
      <c r="B9" s="71" t="s">
        <v>2</v>
      </c>
      <c r="C9" s="72"/>
      <c r="D9" s="11" t="s">
        <v>4</v>
      </c>
      <c r="E9" s="3">
        <f>Cálculos!E32</f>
        <v>1.3333333333333333</v>
      </c>
      <c r="G9" s="71" t="s">
        <v>2</v>
      </c>
      <c r="H9" s="72"/>
      <c r="I9" s="11" t="s">
        <v>4</v>
      </c>
      <c r="J9" s="3">
        <f>Cálculos!J32</f>
        <v>1</v>
      </c>
      <c r="L9" s="20" t="s">
        <v>29</v>
      </c>
      <c r="M9" s="23">
        <f>Cálculos!C36</f>
        <v>9.193650793650793</v>
      </c>
      <c r="N9" s="24">
        <f>Cálculos!D36</f>
        <v>1.7238095238095239</v>
      </c>
      <c r="P9" s="75"/>
      <c r="Q9" s="75"/>
      <c r="R9" s="75"/>
      <c r="S9" s="75"/>
      <c r="T9" s="75"/>
    </row>
    <row r="10" spans="1:20" ht="15.75" thickBot="1">
      <c r="B10" s="73" t="s">
        <v>3</v>
      </c>
      <c r="C10" s="74"/>
      <c r="D10" s="12" t="s">
        <v>4</v>
      </c>
      <c r="E10" s="2">
        <f>Cálculos!E33</f>
        <v>0.66666666666666663</v>
      </c>
      <c r="G10" s="73" t="s">
        <v>3</v>
      </c>
      <c r="H10" s="74"/>
      <c r="I10" s="12" t="s">
        <v>4</v>
      </c>
      <c r="J10" s="2">
        <f>Cálculos!J33</f>
        <v>2.6666666666666665</v>
      </c>
      <c r="P10" s="75"/>
      <c r="Q10" s="75"/>
      <c r="R10" s="75"/>
      <c r="S10" s="75"/>
      <c r="T10" s="75"/>
    </row>
    <row r="11" spans="1:20">
      <c r="P11" s="75"/>
      <c r="Q11" s="75"/>
      <c r="R11" s="75"/>
      <c r="S11" s="75"/>
      <c r="T11" s="75"/>
    </row>
    <row r="12" spans="1:20">
      <c r="B12" s="70" t="s">
        <v>30</v>
      </c>
      <c r="C12" s="69" t="s">
        <v>7</v>
      </c>
      <c r="D12" s="69"/>
      <c r="E12" s="69"/>
      <c r="F12" s="69"/>
      <c r="G12" s="69"/>
      <c r="H12" s="69"/>
      <c r="I12" s="69"/>
      <c r="K12" s="35" t="s">
        <v>34</v>
      </c>
      <c r="L12" s="35"/>
      <c r="M12" s="35"/>
      <c r="N12" s="35" t="s">
        <v>35</v>
      </c>
      <c r="O12" s="35"/>
      <c r="P12" s="75"/>
      <c r="Q12" s="75"/>
      <c r="R12" s="75"/>
      <c r="S12" s="75"/>
      <c r="T12" s="75"/>
    </row>
    <row r="13" spans="1:20" ht="15.75" thickBot="1">
      <c r="B13" s="70"/>
      <c r="C13" s="15">
        <v>0</v>
      </c>
      <c r="D13" s="15">
        <v>1</v>
      </c>
      <c r="E13" s="15">
        <v>2</v>
      </c>
      <c r="F13" s="15">
        <v>3</v>
      </c>
      <c r="G13" s="15">
        <v>4</v>
      </c>
      <c r="H13" s="15">
        <v>5</v>
      </c>
      <c r="I13" s="15">
        <v>6</v>
      </c>
      <c r="K13" s="36" t="s">
        <v>85</v>
      </c>
      <c r="L13" s="36"/>
      <c r="M13" s="36" t="s">
        <v>36</v>
      </c>
      <c r="N13" s="36"/>
      <c r="O13" s="36"/>
      <c r="P13" s="75"/>
      <c r="Q13" s="75"/>
      <c r="R13" s="75"/>
      <c r="S13" s="75"/>
      <c r="T13" s="75"/>
    </row>
    <row r="14" spans="1:20">
      <c r="B14" s="16" t="s">
        <v>8</v>
      </c>
      <c r="C14" s="49">
        <f>Cálculos!L11</f>
        <v>0.2635973745282747</v>
      </c>
      <c r="D14" s="50">
        <f>Cálculos!L12</f>
        <v>0.35146316603769956</v>
      </c>
      <c r="E14" s="50">
        <f>Cálculos!L13</f>
        <v>0.23430877735846639</v>
      </c>
      <c r="F14" s="50">
        <f>Cálculos!L14</f>
        <v>0.10413723438154061</v>
      </c>
      <c r="G14" s="50">
        <f>Cálculos!L15</f>
        <v>3.4712411460513536E-2</v>
      </c>
      <c r="H14" s="50">
        <f>Cálculos!L16</f>
        <v>9.2566430561369425E-3</v>
      </c>
      <c r="I14" s="51">
        <f>Cálculos!L17</f>
        <v>2.0570317902526541E-3</v>
      </c>
      <c r="K14" s="36" t="s">
        <v>44</v>
      </c>
      <c r="L14" s="36"/>
      <c r="M14" s="36" t="s">
        <v>37</v>
      </c>
      <c r="N14" s="36"/>
      <c r="O14" s="36"/>
      <c r="P14" s="75"/>
      <c r="Q14" s="75"/>
      <c r="R14" s="75"/>
      <c r="S14" s="75"/>
      <c r="T14" s="75"/>
    </row>
    <row r="15" spans="1:20" ht="15.75" thickBot="1">
      <c r="B15" s="16" t="s">
        <v>9</v>
      </c>
      <c r="C15" s="52">
        <f>Cálculos!M11</f>
        <v>0.36787968862663156</v>
      </c>
      <c r="D15" s="53">
        <f>Cálculos!M12</f>
        <v>0.36787968862663156</v>
      </c>
      <c r="E15" s="53">
        <f>Cálculos!M13</f>
        <v>0.18393984431331578</v>
      </c>
      <c r="F15" s="53">
        <f>Cálculos!M14</f>
        <v>6.1313281437771927E-2</v>
      </c>
      <c r="G15" s="53">
        <f>Cálculos!M15</f>
        <v>1.5328320359442982E-2</v>
      </c>
      <c r="H15" s="53">
        <f>Cálculos!M16</f>
        <v>3.0656640718885963E-3</v>
      </c>
      <c r="I15" s="54">
        <f>Cálculos!M17</f>
        <v>5.1094401198143271E-4</v>
      </c>
      <c r="K15" s="36"/>
      <c r="L15" s="36"/>
      <c r="M15" s="36"/>
      <c r="N15" s="36"/>
      <c r="O15" s="36"/>
      <c r="P15" s="75"/>
      <c r="Q15" s="75"/>
      <c r="R15" s="75"/>
      <c r="S15" s="75"/>
      <c r="T15" s="75"/>
    </row>
    <row r="17" spans="1:20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</sheetData>
  <mergeCells count="16">
    <mergeCell ref="G4:K4"/>
    <mergeCell ref="J2:L2"/>
    <mergeCell ref="F2:H2"/>
    <mergeCell ref="J3:L3"/>
    <mergeCell ref="F3:H3"/>
    <mergeCell ref="I2:I3"/>
    <mergeCell ref="B8:E8"/>
    <mergeCell ref="G8:J8"/>
    <mergeCell ref="A6:T6"/>
    <mergeCell ref="C12:I12"/>
    <mergeCell ref="B12:B13"/>
    <mergeCell ref="B9:C9"/>
    <mergeCell ref="B10:C10"/>
    <mergeCell ref="G9:H9"/>
    <mergeCell ref="G10:H10"/>
    <mergeCell ref="P9:T15"/>
  </mergeCells>
  <conditionalFormatting sqref="C14:I14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15:I1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2:V172"/>
  <sheetViews>
    <sheetView zoomScale="85" zoomScaleNormal="85" workbookViewId="0">
      <selection activeCell="J10" sqref="J10"/>
    </sheetView>
  </sheetViews>
  <sheetFormatPr baseColWidth="10" defaultRowHeight="15"/>
  <cols>
    <col min="2" max="2" width="14.42578125" bestFit="1" customWidth="1"/>
    <col min="3" max="3" width="11.5703125" customWidth="1"/>
    <col min="4" max="4" width="10.85546875" customWidth="1"/>
    <col min="5" max="5" width="11" customWidth="1"/>
    <col min="6" max="6" width="11.42578125" customWidth="1"/>
    <col min="7" max="7" width="13.5703125" bestFit="1" customWidth="1"/>
    <col min="8" max="8" width="12.5703125" customWidth="1"/>
    <col min="9" max="9" width="12.140625" customWidth="1"/>
    <col min="10" max="10" width="11.42578125" customWidth="1"/>
    <col min="11" max="11" width="12.5703125" bestFit="1" customWidth="1"/>
    <col min="12" max="13" width="10.7109375" customWidth="1"/>
    <col min="14" max="14" width="10.5703125" customWidth="1"/>
    <col min="15" max="15" width="15.5703125" bestFit="1" customWidth="1"/>
    <col min="16" max="16" width="12.42578125" bestFit="1" customWidth="1"/>
    <col min="17" max="17" width="14.7109375" bestFit="1" customWidth="1"/>
  </cols>
  <sheetData>
    <row r="2" spans="1:22" ht="15.75" thickBot="1">
      <c r="B2" s="101" t="s">
        <v>41</v>
      </c>
      <c r="C2" s="101"/>
    </row>
    <row r="3" spans="1:22">
      <c r="I3" s="102" t="s">
        <v>38</v>
      </c>
      <c r="J3" s="103"/>
      <c r="K3" s="103"/>
      <c r="L3" s="104" t="s">
        <v>33</v>
      </c>
      <c r="M3" s="103" t="s">
        <v>39</v>
      </c>
      <c r="N3" s="103"/>
      <c r="O3" s="106"/>
    </row>
    <row r="4" spans="1:22" ht="15.75" thickBot="1">
      <c r="I4" s="107" t="s">
        <v>86</v>
      </c>
      <c r="J4" s="108"/>
      <c r="K4" s="108"/>
      <c r="L4" s="105"/>
      <c r="M4" s="108" t="s">
        <v>87</v>
      </c>
      <c r="N4" s="108"/>
      <c r="O4" s="109"/>
    </row>
    <row r="5" spans="1:22" ht="15.75" thickBot="1">
      <c r="J5" s="98" t="s">
        <v>88</v>
      </c>
      <c r="K5" s="99"/>
      <c r="L5" s="99"/>
      <c r="M5" s="99"/>
      <c r="N5" s="100"/>
    </row>
    <row r="6" spans="1:22">
      <c r="A6" s="87" t="s">
        <v>31</v>
      </c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</row>
    <row r="7" spans="1:22" ht="15.75" thickBot="1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</row>
    <row r="8" spans="1:22" ht="15.75" thickTop="1"/>
    <row r="9" spans="1:22" ht="15.75" thickBot="1">
      <c r="P9" s="89" t="s">
        <v>23</v>
      </c>
      <c r="Q9" s="89"/>
    </row>
    <row r="10" spans="1:22" ht="15.75" thickBot="1">
      <c r="C10" s="94" t="s">
        <v>10</v>
      </c>
      <c r="D10" s="95"/>
      <c r="H10" s="96" t="s">
        <v>14</v>
      </c>
      <c r="I10" s="97"/>
      <c r="K10" s="17"/>
      <c r="L10" s="18" t="s">
        <v>0</v>
      </c>
      <c r="M10" s="19" t="s">
        <v>1</v>
      </c>
      <c r="P10" s="14" t="s">
        <v>24</v>
      </c>
      <c r="Q10" s="14" t="s">
        <v>25</v>
      </c>
    </row>
    <row r="11" spans="1:22" ht="15.75" thickBot="1">
      <c r="C11" s="25" t="s">
        <v>11</v>
      </c>
      <c r="D11" s="26" t="s">
        <v>12</v>
      </c>
      <c r="E11" s="7"/>
      <c r="H11" s="33" t="s">
        <v>12</v>
      </c>
      <c r="I11" s="34" t="s">
        <v>11</v>
      </c>
      <c r="K11" s="27" t="s">
        <v>16</v>
      </c>
      <c r="L11" s="55">
        <f>((E32^0)*(2.71828^(-E32)))/FACT(0)</f>
        <v>0.2635973745282747</v>
      </c>
      <c r="M11" s="56">
        <f>((J32^0)*(2.71828^(-J32)))/FACT(0)</f>
        <v>0.36787968862663156</v>
      </c>
      <c r="P11" s="37">
        <v>13</v>
      </c>
      <c r="Q11" s="38"/>
    </row>
    <row r="12" spans="1:22">
      <c r="C12" s="43">
        <v>1</v>
      </c>
      <c r="D12" s="44">
        <v>0</v>
      </c>
      <c r="H12" s="43">
        <v>2</v>
      </c>
      <c r="I12" s="44">
        <v>2</v>
      </c>
      <c r="K12" s="27" t="s">
        <v>17</v>
      </c>
      <c r="L12" s="55">
        <f>((E32^1)*(2.71828^(-E32)))/FACT(1)</f>
        <v>0.35146316603769956</v>
      </c>
      <c r="M12" s="56">
        <f>((J32^1)*(2.71828^(-J32)))/FACT(1)</f>
        <v>0.36787968862663156</v>
      </c>
      <c r="P12" s="39">
        <v>13</v>
      </c>
      <c r="Q12" s="40"/>
    </row>
    <row r="13" spans="1:22">
      <c r="C13" s="45">
        <v>1</v>
      </c>
      <c r="D13" s="40">
        <v>1</v>
      </c>
      <c r="H13" s="45">
        <v>4</v>
      </c>
      <c r="I13" s="40">
        <v>1</v>
      </c>
      <c r="K13" s="27" t="s">
        <v>18</v>
      </c>
      <c r="L13" s="55">
        <f>((E32^2)*(2.71828^(-E32)))/FACT(2)</f>
        <v>0.23430877735846639</v>
      </c>
      <c r="M13" s="56">
        <f>((J32^2)*(2.71828^(-J32)))/FACT(2)</f>
        <v>0.18393984431331578</v>
      </c>
      <c r="P13" s="39">
        <v>11</v>
      </c>
      <c r="Q13" s="40"/>
    </row>
    <row r="14" spans="1:22">
      <c r="C14" s="45">
        <v>2</v>
      </c>
      <c r="D14" s="40">
        <v>1</v>
      </c>
      <c r="H14" s="45">
        <v>2</v>
      </c>
      <c r="I14" s="40">
        <v>0</v>
      </c>
      <c r="K14" s="27" t="s">
        <v>19</v>
      </c>
      <c r="L14" s="55">
        <f>((E32^3)*(2.71828^(-E32)))/FACT(3)</f>
        <v>0.10413723438154061</v>
      </c>
      <c r="M14" s="56">
        <f>((J32^3)*(2.71828^(-J32)))/FACT(3)</f>
        <v>6.1313281437771927E-2</v>
      </c>
      <c r="P14" s="39">
        <v>10</v>
      </c>
      <c r="Q14" s="40"/>
    </row>
    <row r="15" spans="1:22">
      <c r="C15" s="45"/>
      <c r="D15" s="40"/>
      <c r="H15" s="45"/>
      <c r="I15" s="40"/>
      <c r="K15" s="27" t="s">
        <v>21</v>
      </c>
      <c r="L15" s="55">
        <f>((E32^4)*(2.71828^(-E32)))/FACT(4)</f>
        <v>3.4712411460513536E-2</v>
      </c>
      <c r="M15" s="56">
        <f>((J32^4)*(2.71828^(-J32)))/FACT(4)</f>
        <v>1.5328320359442982E-2</v>
      </c>
      <c r="P15" s="39">
        <v>12</v>
      </c>
      <c r="Q15" s="40"/>
    </row>
    <row r="16" spans="1:22">
      <c r="C16" s="45"/>
      <c r="D16" s="40"/>
      <c r="H16" s="45"/>
      <c r="I16" s="40"/>
      <c r="K16" s="27" t="s">
        <v>20</v>
      </c>
      <c r="L16" s="55">
        <f>((E32^5)*(2.71828^(-E32)))/FACT(5)</f>
        <v>9.2566430561369425E-3</v>
      </c>
      <c r="M16" s="56">
        <f>((J32^5)*(2.71828^(-J32)))/FACT(5)</f>
        <v>3.0656640718885963E-3</v>
      </c>
      <c r="P16" s="39">
        <v>5</v>
      </c>
      <c r="Q16" s="40"/>
    </row>
    <row r="17" spans="2:17" ht="15.75" thickBot="1">
      <c r="C17" s="45"/>
      <c r="D17" s="40"/>
      <c r="H17" s="45"/>
      <c r="I17" s="40"/>
      <c r="K17" s="28" t="s">
        <v>22</v>
      </c>
      <c r="L17" s="53">
        <f>((E32^6)*(2.71828^(-E32)))/FACT(6)</f>
        <v>2.0570317902526541E-3</v>
      </c>
      <c r="M17" s="54">
        <f>((J32^6)*(2.71828^(-J32)))/FACT(6)</f>
        <v>5.1094401198143271E-4</v>
      </c>
      <c r="P17" s="39">
        <v>11</v>
      </c>
      <c r="Q17" s="40"/>
    </row>
    <row r="18" spans="2:17">
      <c r="C18" s="45"/>
      <c r="D18" s="40"/>
      <c r="H18" s="45"/>
      <c r="I18" s="40"/>
      <c r="P18" s="39">
        <v>8</v>
      </c>
      <c r="Q18" s="40"/>
    </row>
    <row r="19" spans="2:17">
      <c r="C19" s="45"/>
      <c r="D19" s="40"/>
      <c r="H19" s="45"/>
      <c r="I19" s="40"/>
      <c r="P19" s="39">
        <v>10</v>
      </c>
      <c r="Q19" s="40"/>
    </row>
    <row r="20" spans="2:17">
      <c r="C20" s="45"/>
      <c r="D20" s="40"/>
      <c r="H20" s="45"/>
      <c r="I20" s="40"/>
      <c r="P20" s="39">
        <v>10</v>
      </c>
      <c r="Q20" s="40"/>
    </row>
    <row r="21" spans="2:17">
      <c r="C21" s="45"/>
      <c r="D21" s="40"/>
      <c r="H21" s="45"/>
      <c r="I21" s="40"/>
      <c r="P21" s="39">
        <v>11</v>
      </c>
      <c r="Q21" s="40"/>
    </row>
    <row r="22" spans="2:17">
      <c r="C22" s="45"/>
      <c r="D22" s="40"/>
      <c r="H22" s="45"/>
      <c r="I22" s="40"/>
      <c r="P22" s="39">
        <v>10</v>
      </c>
      <c r="Q22" s="40"/>
    </row>
    <row r="23" spans="2:17">
      <c r="C23" s="45"/>
      <c r="D23" s="40"/>
      <c r="H23" s="45"/>
      <c r="I23" s="40"/>
      <c r="P23" s="39">
        <v>9</v>
      </c>
      <c r="Q23" s="40"/>
    </row>
    <row r="24" spans="2:17">
      <c r="C24" s="45"/>
      <c r="D24" s="40"/>
      <c r="H24" s="45"/>
      <c r="I24" s="40"/>
      <c r="P24" s="39">
        <v>9</v>
      </c>
      <c r="Q24" s="40"/>
    </row>
    <row r="25" spans="2:17">
      <c r="C25" s="45"/>
      <c r="D25" s="40"/>
      <c r="H25" s="45"/>
      <c r="I25" s="40"/>
      <c r="P25" s="39">
        <v>13</v>
      </c>
      <c r="Q25" s="40"/>
    </row>
    <row r="26" spans="2:17">
      <c r="C26" s="45"/>
      <c r="D26" s="40"/>
      <c r="H26" s="45"/>
      <c r="I26" s="40"/>
      <c r="P26" s="39">
        <v>6</v>
      </c>
      <c r="Q26" s="40"/>
    </row>
    <row r="27" spans="2:17" ht="15.75" thickBot="1">
      <c r="C27" s="47"/>
      <c r="D27" s="48"/>
      <c r="H27" s="46"/>
      <c r="I27" s="42"/>
      <c r="P27" s="39">
        <v>6</v>
      </c>
      <c r="Q27" s="40"/>
    </row>
    <row r="28" spans="2:17" ht="15.75" thickBot="1">
      <c r="B28" s="14" t="s">
        <v>13</v>
      </c>
      <c r="C28" s="8">
        <f>SUM(C12:C27)</f>
        <v>4</v>
      </c>
      <c r="D28" s="9">
        <f>SUM(D12:D27)</f>
        <v>2</v>
      </c>
      <c r="G28" s="30" t="s">
        <v>13</v>
      </c>
      <c r="H28" s="31">
        <f>SUM(H12:H27)</f>
        <v>8</v>
      </c>
      <c r="I28" s="32">
        <f>SUM(I12:I27)</f>
        <v>3</v>
      </c>
      <c r="P28" s="39">
        <v>7</v>
      </c>
      <c r="Q28" s="40"/>
    </row>
    <row r="29" spans="2:17" ht="15.75" thickBot="1">
      <c r="B29" s="14" t="s">
        <v>15</v>
      </c>
      <c r="C29" s="10">
        <f>COUNT(C12:C27)</f>
        <v>3</v>
      </c>
      <c r="G29" s="14" t="s">
        <v>15</v>
      </c>
      <c r="H29" s="29">
        <f>COUNT(H12:H27)</f>
        <v>3</v>
      </c>
      <c r="P29" s="39">
        <v>4</v>
      </c>
      <c r="Q29" s="40"/>
    </row>
    <row r="30" spans="2:17">
      <c r="P30" s="39">
        <v>3</v>
      </c>
      <c r="Q30" s="40"/>
    </row>
    <row r="31" spans="2:17">
      <c r="B31" s="89" t="s">
        <v>5</v>
      </c>
      <c r="C31" s="89"/>
      <c r="D31" s="89"/>
      <c r="E31" s="89"/>
      <c r="G31" s="89" t="s">
        <v>6</v>
      </c>
      <c r="H31" s="89"/>
      <c r="I31" s="89"/>
      <c r="J31" s="89"/>
      <c r="P31" s="39"/>
      <c r="Q31" s="40"/>
    </row>
    <row r="32" spans="2:17">
      <c r="B32" s="71" t="s">
        <v>2</v>
      </c>
      <c r="C32" s="72"/>
      <c r="D32" s="11" t="s">
        <v>4</v>
      </c>
      <c r="E32" s="3">
        <f>C28/C29</f>
        <v>1.3333333333333333</v>
      </c>
      <c r="G32" s="71" t="s">
        <v>2</v>
      </c>
      <c r="H32" s="72"/>
      <c r="I32" s="11" t="s">
        <v>4</v>
      </c>
      <c r="J32" s="3">
        <f>I28/H29</f>
        <v>1</v>
      </c>
      <c r="P32" s="39"/>
      <c r="Q32" s="40"/>
    </row>
    <row r="33" spans="1:22" ht="15.75" thickBot="1">
      <c r="B33" s="73" t="s">
        <v>3</v>
      </c>
      <c r="C33" s="74"/>
      <c r="D33" s="12" t="s">
        <v>4</v>
      </c>
      <c r="E33" s="2">
        <f>D28/C29</f>
        <v>0.66666666666666663</v>
      </c>
      <c r="G33" s="73" t="s">
        <v>3</v>
      </c>
      <c r="H33" s="74"/>
      <c r="I33" s="12" t="s">
        <v>4</v>
      </c>
      <c r="J33" s="2">
        <f>H28/H29</f>
        <v>2.6666666666666665</v>
      </c>
      <c r="P33" s="39"/>
      <c r="Q33" s="40"/>
    </row>
    <row r="34" spans="1:22" ht="15.75" thickBot="1">
      <c r="P34" s="41"/>
      <c r="Q34" s="42"/>
    </row>
    <row r="35" spans="1:22" ht="15.75" thickBot="1">
      <c r="B35" s="17"/>
      <c r="C35" s="18" t="s">
        <v>0</v>
      </c>
      <c r="D35" s="19" t="s">
        <v>1</v>
      </c>
      <c r="O35" s="14" t="s">
        <v>26</v>
      </c>
      <c r="P35" s="13">
        <f>SUM(P11:P34)</f>
        <v>181</v>
      </c>
      <c r="Q35" s="21">
        <f>SUM(Q11:Q34)</f>
        <v>0</v>
      </c>
    </row>
    <row r="36" spans="1:22" ht="15.75" thickBot="1">
      <c r="B36" s="20" t="s">
        <v>29</v>
      </c>
      <c r="C36" s="23">
        <f>E32*J33*P38</f>
        <v>9.193650793650793</v>
      </c>
      <c r="D36" s="24">
        <f>J32*E33*P38</f>
        <v>1.7238095238095239</v>
      </c>
      <c r="O36" s="14" t="s">
        <v>27</v>
      </c>
      <c r="P36" s="90">
        <v>7</v>
      </c>
      <c r="Q36" s="91"/>
    </row>
    <row r="37" spans="1:22" ht="15.75" thickBot="1">
      <c r="O37" s="14" t="s">
        <v>28</v>
      </c>
      <c r="P37" s="92">
        <f>COUNT(P11:P34)</f>
        <v>20</v>
      </c>
      <c r="Q37" s="93"/>
    </row>
    <row r="38" spans="1:22" ht="15.75" thickBot="1">
      <c r="O38" s="14" t="s">
        <v>42</v>
      </c>
      <c r="P38" s="22">
        <f>P35/(P36*(P37/2))</f>
        <v>2.5857142857142859</v>
      </c>
      <c r="Q38" s="21">
        <f>Q35/(P36*P37)</f>
        <v>0</v>
      </c>
    </row>
    <row r="40" spans="1:22">
      <c r="A40" s="87" t="s">
        <v>32</v>
      </c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</row>
    <row r="41" spans="1:22" ht="15.75" thickBot="1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</row>
    <row r="42" spans="1:22" ht="15.75" thickTop="1"/>
    <row r="115" spans="3:15">
      <c r="C115" s="4"/>
    </row>
    <row r="116" spans="3:15">
      <c r="C116" s="4"/>
    </row>
    <row r="118" spans="3:15">
      <c r="C118" s="4"/>
      <c r="F118" s="5"/>
      <c r="O118" s="6"/>
    </row>
    <row r="120" spans="3:15">
      <c r="C120" s="4"/>
      <c r="O120" s="5"/>
    </row>
    <row r="122" spans="3:15">
      <c r="C122" s="4"/>
      <c r="F122" s="5"/>
      <c r="O122" s="6"/>
    </row>
    <row r="124" spans="3:15">
      <c r="C124" s="4"/>
      <c r="F124" s="5"/>
      <c r="O124" s="5"/>
    </row>
    <row r="126" spans="3:15">
      <c r="C126" s="4"/>
      <c r="O126" s="6"/>
    </row>
    <row r="128" spans="3:15">
      <c r="C128" s="4"/>
      <c r="F128" s="5"/>
      <c r="O128" s="6"/>
    </row>
    <row r="130" spans="3:15">
      <c r="C130" s="4"/>
      <c r="O130" s="5"/>
    </row>
    <row r="132" spans="3:15">
      <c r="C132" s="4"/>
      <c r="F132" s="5"/>
      <c r="O132" s="5"/>
    </row>
    <row r="134" spans="3:15">
      <c r="C134" s="4"/>
      <c r="O134" s="6"/>
    </row>
    <row r="136" spans="3:15">
      <c r="C136" s="4"/>
      <c r="F136" s="5"/>
      <c r="O136" s="5"/>
    </row>
    <row r="138" spans="3:15">
      <c r="C138" s="4"/>
      <c r="F138" s="5"/>
    </row>
    <row r="140" spans="3:15">
      <c r="C140" s="4"/>
      <c r="O140" s="5"/>
    </row>
    <row r="142" spans="3:15">
      <c r="C142" s="4"/>
      <c r="F142" s="5"/>
    </row>
    <row r="144" spans="3:15">
      <c r="C144" s="4"/>
      <c r="O144" s="5"/>
    </row>
    <row r="146" spans="3:15">
      <c r="C146" s="4"/>
      <c r="F146" s="5"/>
      <c r="O146" s="5"/>
    </row>
    <row r="148" spans="3:15">
      <c r="C148" s="4"/>
      <c r="F148" s="5"/>
    </row>
    <row r="150" spans="3:15">
      <c r="C150" s="4"/>
      <c r="O150" s="5"/>
    </row>
    <row r="152" spans="3:15">
      <c r="C152" s="4"/>
      <c r="O152" s="6"/>
    </row>
    <row r="154" spans="3:15">
      <c r="C154" s="4"/>
      <c r="O154" s="5"/>
    </row>
    <row r="156" spans="3:15">
      <c r="C156" s="4"/>
      <c r="O156" s="5"/>
    </row>
    <row r="158" spans="3:15">
      <c r="C158" s="4"/>
    </row>
    <row r="160" spans="3:15">
      <c r="C160" s="4"/>
      <c r="F160" s="5"/>
      <c r="O160" s="6"/>
    </row>
    <row r="162" spans="3:15">
      <c r="C162" s="4"/>
      <c r="O162" s="5"/>
    </row>
    <row r="164" spans="3:15">
      <c r="C164" s="4"/>
      <c r="O164" s="5"/>
    </row>
    <row r="166" spans="3:15">
      <c r="C166" s="4"/>
      <c r="F166" s="5"/>
      <c r="O166" s="5"/>
    </row>
    <row r="168" spans="3:15">
      <c r="C168" s="4"/>
      <c r="F168" s="5"/>
      <c r="O168" s="5"/>
    </row>
    <row r="170" spans="3:15">
      <c r="C170" s="4"/>
      <c r="F170" s="5"/>
      <c r="O170" s="5"/>
    </row>
    <row r="172" spans="3:15">
      <c r="C172" s="4"/>
      <c r="F172" s="5"/>
      <c r="O172" s="6"/>
    </row>
  </sheetData>
  <mergeCells count="20">
    <mergeCell ref="J5:N5"/>
    <mergeCell ref="B2:C2"/>
    <mergeCell ref="I3:K3"/>
    <mergeCell ref="L3:L4"/>
    <mergeCell ref="M3:O3"/>
    <mergeCell ref="I4:K4"/>
    <mergeCell ref="M4:O4"/>
    <mergeCell ref="A6:V7"/>
    <mergeCell ref="A40:V41"/>
    <mergeCell ref="B33:C33"/>
    <mergeCell ref="G33:H33"/>
    <mergeCell ref="P9:Q9"/>
    <mergeCell ref="P36:Q36"/>
    <mergeCell ref="P37:Q37"/>
    <mergeCell ref="C10:D10"/>
    <mergeCell ref="H10:I10"/>
    <mergeCell ref="B31:E31"/>
    <mergeCell ref="G31:J31"/>
    <mergeCell ref="B32:C32"/>
    <mergeCell ref="G32:H32"/>
  </mergeCells>
  <conditionalFormatting sqref="L11:L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1:M17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Q39"/>
  <sheetViews>
    <sheetView workbookViewId="0">
      <selection activeCell="J4" sqref="J4"/>
    </sheetView>
  </sheetViews>
  <sheetFormatPr baseColWidth="10" defaultRowHeight="15"/>
  <cols>
    <col min="10" max="10" width="11.85546875" style="63" bestFit="1" customWidth="1"/>
    <col min="12" max="12" width="11.5703125" style="35" bestFit="1" customWidth="1"/>
    <col min="14" max="14" width="11.42578125" style="35"/>
  </cols>
  <sheetData>
    <row r="1" spans="1:17">
      <c r="A1" s="35"/>
      <c r="B1" s="35"/>
      <c r="C1" s="35"/>
      <c r="D1" s="35"/>
      <c r="E1" s="35"/>
      <c r="F1" s="35"/>
      <c r="G1" s="35"/>
      <c r="H1" s="35"/>
      <c r="I1" s="35"/>
      <c r="K1" s="35"/>
      <c r="M1" s="35"/>
      <c r="O1" s="35"/>
      <c r="P1" s="35"/>
      <c r="Q1" s="35"/>
    </row>
    <row r="2" spans="1:17">
      <c r="A2" s="35"/>
      <c r="B2" s="35"/>
      <c r="C2" s="35"/>
      <c r="D2" s="35"/>
      <c r="E2" s="35"/>
      <c r="F2" s="35"/>
      <c r="G2" s="35"/>
      <c r="H2" s="35"/>
      <c r="I2" s="35"/>
      <c r="K2" s="35"/>
      <c r="M2" s="35"/>
      <c r="O2" s="35"/>
      <c r="P2" s="35"/>
      <c r="Q2" s="35"/>
    </row>
    <row r="3" spans="1:17">
      <c r="A3" s="35"/>
      <c r="B3" s="61" t="s">
        <v>45</v>
      </c>
      <c r="C3" s="61">
        <v>7</v>
      </c>
      <c r="D3" s="61">
        <v>4</v>
      </c>
      <c r="E3" s="61">
        <v>2</v>
      </c>
      <c r="F3" s="61">
        <v>1</v>
      </c>
      <c r="G3" s="60">
        <v>0.54583333333333328</v>
      </c>
      <c r="H3" s="61">
        <v>14</v>
      </c>
      <c r="I3" s="61" t="s">
        <v>47</v>
      </c>
      <c r="K3" s="35"/>
      <c r="M3" s="35"/>
      <c r="O3" s="35"/>
      <c r="P3" s="35"/>
      <c r="Q3" s="35"/>
    </row>
    <row r="4" spans="1:17">
      <c r="A4" s="35"/>
      <c r="B4" s="61" t="s">
        <v>48</v>
      </c>
      <c r="C4" s="61" t="s">
        <v>49</v>
      </c>
      <c r="D4" s="61">
        <v>8</v>
      </c>
      <c r="E4" s="61">
        <v>4</v>
      </c>
      <c r="F4" s="61">
        <v>4</v>
      </c>
      <c r="G4" s="61">
        <v>0</v>
      </c>
      <c r="H4" s="60">
        <v>0.54722222222222217</v>
      </c>
      <c r="I4" s="60">
        <v>16</v>
      </c>
      <c r="J4" s="60" t="str">
        <f>LEFT(H4,2)</f>
        <v>0,</v>
      </c>
      <c r="K4" s="35"/>
      <c r="M4" s="35"/>
      <c r="O4" s="35"/>
      <c r="P4" s="35"/>
      <c r="Q4" s="35"/>
    </row>
    <row r="5" spans="1:17">
      <c r="A5" s="35"/>
      <c r="B5" s="61" t="s">
        <v>50</v>
      </c>
      <c r="C5" s="61" t="s">
        <v>51</v>
      </c>
      <c r="D5" s="61">
        <v>8</v>
      </c>
      <c r="E5" s="61">
        <v>3</v>
      </c>
      <c r="F5" s="61">
        <v>4</v>
      </c>
      <c r="G5" s="61">
        <v>1</v>
      </c>
      <c r="H5" s="60">
        <v>0.3354166666666667</v>
      </c>
      <c r="I5" s="61">
        <v>13</v>
      </c>
      <c r="J5" s="64" t="s">
        <v>47</v>
      </c>
      <c r="K5" s="62"/>
      <c r="L5" s="62"/>
      <c r="M5" s="62"/>
      <c r="N5" s="62"/>
      <c r="O5" s="35"/>
      <c r="P5" s="35"/>
      <c r="Q5" s="35"/>
    </row>
    <row r="6" spans="1:17">
      <c r="A6" s="35"/>
      <c r="B6" s="61" t="s">
        <v>52</v>
      </c>
      <c r="C6" s="61" t="s">
        <v>53</v>
      </c>
      <c r="D6" s="61">
        <v>8</v>
      </c>
      <c r="E6" s="61">
        <v>4</v>
      </c>
      <c r="F6" s="61">
        <v>2</v>
      </c>
      <c r="G6" s="61">
        <v>2</v>
      </c>
      <c r="H6" s="60">
        <v>0.46319444444444446</v>
      </c>
      <c r="I6" s="61">
        <v>14</v>
      </c>
      <c r="J6" s="64" t="s">
        <v>47</v>
      </c>
      <c r="K6" s="62"/>
      <c r="L6" s="62"/>
      <c r="M6" s="62"/>
      <c r="N6" s="62"/>
      <c r="O6" s="35"/>
      <c r="P6" s="35"/>
      <c r="Q6" s="35"/>
    </row>
    <row r="7" spans="1:17" ht="30">
      <c r="A7" s="35"/>
      <c r="B7" s="61" t="s">
        <v>54</v>
      </c>
      <c r="C7" s="61" t="s">
        <v>55</v>
      </c>
      <c r="D7" s="61">
        <v>8</v>
      </c>
      <c r="E7" s="61">
        <v>4</v>
      </c>
      <c r="F7" s="61">
        <v>2</v>
      </c>
      <c r="G7" s="61">
        <v>2</v>
      </c>
      <c r="H7" s="60">
        <v>0.42083333333333334</v>
      </c>
      <c r="I7" s="61">
        <v>14</v>
      </c>
      <c r="J7" s="64" t="s">
        <v>47</v>
      </c>
      <c r="K7" s="62"/>
      <c r="L7" s="62"/>
      <c r="M7" s="62"/>
      <c r="N7" s="62"/>
      <c r="O7" s="35"/>
      <c r="P7" s="35"/>
      <c r="Q7" s="35"/>
    </row>
    <row r="8" spans="1:17">
      <c r="A8" s="35"/>
      <c r="B8" s="61" t="s">
        <v>56</v>
      </c>
      <c r="C8" s="61" t="s">
        <v>57</v>
      </c>
      <c r="D8" s="61">
        <v>7</v>
      </c>
      <c r="E8" s="61">
        <v>3</v>
      </c>
      <c r="F8" s="61">
        <v>2</v>
      </c>
      <c r="G8" s="61">
        <v>2</v>
      </c>
      <c r="H8" s="60">
        <v>0.42083333333333334</v>
      </c>
      <c r="I8" s="61">
        <v>11</v>
      </c>
      <c r="J8" s="64" t="s">
        <v>47</v>
      </c>
      <c r="K8" s="62"/>
      <c r="L8" s="62"/>
      <c r="M8" s="62"/>
      <c r="N8" s="62"/>
      <c r="O8" s="35"/>
      <c r="P8" s="35"/>
      <c r="Q8" s="35"/>
    </row>
    <row r="9" spans="1:17">
      <c r="A9" s="35"/>
      <c r="B9" s="61" t="s">
        <v>58</v>
      </c>
      <c r="C9" s="61" t="s">
        <v>59</v>
      </c>
      <c r="D9" s="61">
        <v>8</v>
      </c>
      <c r="E9" s="61">
        <v>3</v>
      </c>
      <c r="F9" s="61">
        <v>2</v>
      </c>
      <c r="G9" s="61">
        <v>3</v>
      </c>
      <c r="H9" s="60">
        <v>0.42152777777777778</v>
      </c>
      <c r="I9" s="61">
        <v>11</v>
      </c>
      <c r="J9" s="64" t="s">
        <v>47</v>
      </c>
      <c r="K9" s="62"/>
      <c r="L9" s="62"/>
      <c r="M9" s="62"/>
      <c r="N9" s="62"/>
      <c r="O9" s="35"/>
      <c r="P9" s="35"/>
      <c r="Q9" s="35"/>
    </row>
    <row r="10" spans="1:17">
      <c r="A10" s="35"/>
      <c r="B10" s="61" t="s">
        <v>60</v>
      </c>
      <c r="C10" s="61" t="s">
        <v>61</v>
      </c>
      <c r="D10" s="61">
        <v>8</v>
      </c>
      <c r="E10" s="61">
        <v>4</v>
      </c>
      <c r="F10" s="61">
        <v>1</v>
      </c>
      <c r="G10" s="61">
        <v>3</v>
      </c>
      <c r="H10" s="60">
        <v>0.21041666666666667</v>
      </c>
      <c r="I10" s="61">
        <v>13</v>
      </c>
      <c r="J10" s="64" t="s">
        <v>47</v>
      </c>
      <c r="K10" s="62"/>
      <c r="L10" s="62"/>
      <c r="M10" s="62"/>
      <c r="N10" s="62"/>
      <c r="O10" s="35"/>
      <c r="P10" s="35"/>
      <c r="Q10" s="35"/>
    </row>
    <row r="11" spans="1:17" ht="30">
      <c r="A11" s="35"/>
      <c r="B11" s="61" t="s">
        <v>62</v>
      </c>
      <c r="C11" s="61" t="s">
        <v>63</v>
      </c>
      <c r="D11" s="61">
        <v>8</v>
      </c>
      <c r="E11" s="61">
        <v>4</v>
      </c>
      <c r="F11" s="61">
        <v>1</v>
      </c>
      <c r="G11" s="61">
        <v>3</v>
      </c>
      <c r="H11" s="60">
        <v>0.46527777777777773</v>
      </c>
      <c r="I11" s="61">
        <v>13</v>
      </c>
      <c r="J11" s="64" t="s">
        <v>47</v>
      </c>
      <c r="K11" s="62"/>
      <c r="L11" s="62"/>
      <c r="M11" s="62"/>
      <c r="N11" s="62"/>
      <c r="O11" s="35"/>
      <c r="P11" s="35"/>
      <c r="Q11" s="35"/>
    </row>
    <row r="12" spans="1:17">
      <c r="A12" s="35"/>
      <c r="B12" s="61" t="s">
        <v>64</v>
      </c>
      <c r="C12" s="61" t="s">
        <v>65</v>
      </c>
      <c r="D12" s="61">
        <v>7</v>
      </c>
      <c r="E12" s="61">
        <v>3</v>
      </c>
      <c r="F12" s="61">
        <v>2</v>
      </c>
      <c r="G12" s="61">
        <v>2</v>
      </c>
      <c r="H12" s="60">
        <v>0.46527777777777773</v>
      </c>
      <c r="I12" s="61">
        <v>11</v>
      </c>
      <c r="J12" s="64" t="s">
        <v>47</v>
      </c>
      <c r="K12" s="62"/>
      <c r="L12" s="62"/>
      <c r="M12" s="62"/>
      <c r="N12" s="62"/>
      <c r="O12" s="35"/>
      <c r="P12" s="35"/>
      <c r="Q12" s="35"/>
    </row>
    <row r="13" spans="1:17" ht="30">
      <c r="A13" s="35"/>
      <c r="B13" s="61" t="s">
        <v>66</v>
      </c>
      <c r="C13" s="61" t="s">
        <v>67</v>
      </c>
      <c r="D13" s="61">
        <v>8</v>
      </c>
      <c r="E13" s="61">
        <v>4</v>
      </c>
      <c r="F13" s="61">
        <v>2</v>
      </c>
      <c r="G13" s="61">
        <v>2</v>
      </c>
      <c r="H13" s="60">
        <v>0.5083333333333333</v>
      </c>
      <c r="I13" s="61">
        <v>14</v>
      </c>
      <c r="J13" s="64" t="s">
        <v>47</v>
      </c>
      <c r="K13" s="62"/>
      <c r="L13" s="62"/>
      <c r="M13" s="62"/>
      <c r="N13" s="62"/>
      <c r="O13" s="35"/>
      <c r="P13" s="35"/>
      <c r="Q13" s="35"/>
    </row>
    <row r="14" spans="1:17">
      <c r="A14" s="35"/>
      <c r="B14" s="61" t="s">
        <v>68</v>
      </c>
      <c r="C14" s="61" t="s">
        <v>69</v>
      </c>
      <c r="D14" s="61">
        <v>8</v>
      </c>
      <c r="E14" s="61">
        <v>2</v>
      </c>
      <c r="F14" s="61">
        <v>3</v>
      </c>
      <c r="G14" s="61">
        <v>3</v>
      </c>
      <c r="H14" s="60">
        <v>0.38194444444444442</v>
      </c>
      <c r="I14" s="61">
        <v>9</v>
      </c>
      <c r="J14" s="64" t="s">
        <v>47</v>
      </c>
      <c r="K14" s="62"/>
      <c r="L14" s="62"/>
      <c r="M14" s="62"/>
      <c r="N14" s="62"/>
      <c r="O14" s="35"/>
      <c r="P14" s="35"/>
      <c r="Q14" s="35"/>
    </row>
    <row r="15" spans="1:17">
      <c r="A15" s="35"/>
      <c r="B15" s="61" t="s">
        <v>70</v>
      </c>
      <c r="C15" s="61" t="s">
        <v>71</v>
      </c>
      <c r="D15" s="61">
        <v>7</v>
      </c>
      <c r="E15" s="61">
        <v>1</v>
      </c>
      <c r="F15" s="61">
        <v>3</v>
      </c>
      <c r="G15" s="61">
        <v>3</v>
      </c>
      <c r="H15" s="60">
        <v>0.29722222222222222</v>
      </c>
      <c r="I15" s="61">
        <v>6</v>
      </c>
      <c r="J15" s="64" t="s">
        <v>47</v>
      </c>
      <c r="K15" s="62"/>
      <c r="L15" s="62"/>
      <c r="M15" s="62"/>
      <c r="N15" s="62"/>
      <c r="O15" s="35"/>
      <c r="P15" s="35"/>
      <c r="Q15" s="35"/>
    </row>
    <row r="16" spans="1:17" ht="30">
      <c r="A16" s="35"/>
      <c r="B16" s="61" t="s">
        <v>72</v>
      </c>
      <c r="C16" s="61" t="s">
        <v>73</v>
      </c>
      <c r="D16" s="61">
        <v>7</v>
      </c>
      <c r="E16" s="61">
        <v>3</v>
      </c>
      <c r="F16" s="61">
        <v>1</v>
      </c>
      <c r="G16" s="61">
        <v>3</v>
      </c>
      <c r="H16" s="60">
        <v>0.42499999999999999</v>
      </c>
      <c r="I16" s="61">
        <v>10</v>
      </c>
      <c r="J16" s="64" t="s">
        <v>47</v>
      </c>
      <c r="K16" s="62"/>
      <c r="L16" s="62"/>
      <c r="M16" s="62"/>
      <c r="N16" s="62"/>
      <c r="O16" s="35"/>
      <c r="P16" s="35"/>
      <c r="Q16" s="35"/>
    </row>
    <row r="17" spans="1:17">
      <c r="A17" s="35"/>
      <c r="B17" s="61" t="s">
        <v>74</v>
      </c>
      <c r="C17" s="61" t="s">
        <v>75</v>
      </c>
      <c r="D17" s="61">
        <v>8</v>
      </c>
      <c r="E17" s="61">
        <v>2</v>
      </c>
      <c r="F17" s="61">
        <v>2</v>
      </c>
      <c r="G17" s="61">
        <v>4</v>
      </c>
      <c r="H17" s="60">
        <v>0.55208333333333337</v>
      </c>
      <c r="I17" s="61">
        <v>8</v>
      </c>
      <c r="J17" s="64" t="s">
        <v>47</v>
      </c>
      <c r="K17" s="62"/>
      <c r="L17" s="62"/>
      <c r="M17" s="62"/>
      <c r="N17" s="62"/>
      <c r="O17" s="35"/>
      <c r="P17" s="35"/>
      <c r="Q17" s="35"/>
    </row>
    <row r="18" spans="1:17">
      <c r="A18" s="35"/>
      <c r="B18" s="61" t="s">
        <v>76</v>
      </c>
      <c r="C18" s="61" t="s">
        <v>46</v>
      </c>
      <c r="D18" s="61">
        <v>7</v>
      </c>
      <c r="E18" s="61">
        <v>2</v>
      </c>
      <c r="F18" s="61">
        <v>2</v>
      </c>
      <c r="G18" s="61">
        <v>3</v>
      </c>
      <c r="H18" s="60">
        <v>0.25625000000000003</v>
      </c>
      <c r="I18" s="61">
        <v>8</v>
      </c>
      <c r="J18" s="64" t="s">
        <v>47</v>
      </c>
      <c r="K18" s="62"/>
      <c r="L18" s="62"/>
      <c r="M18" s="62"/>
      <c r="N18" s="62"/>
      <c r="O18" s="35"/>
      <c r="P18" s="35"/>
      <c r="Q18" s="35"/>
    </row>
    <row r="19" spans="1:17">
      <c r="A19" s="35"/>
      <c r="B19" s="61" t="s">
        <v>77</v>
      </c>
      <c r="C19" s="61" t="s">
        <v>78</v>
      </c>
      <c r="D19" s="61">
        <v>6</v>
      </c>
      <c r="E19" s="61">
        <v>2</v>
      </c>
      <c r="F19" s="61">
        <v>0</v>
      </c>
      <c r="G19" s="61">
        <v>4</v>
      </c>
      <c r="H19" s="60">
        <v>0.25625000000000003</v>
      </c>
      <c r="I19" s="61">
        <v>6</v>
      </c>
      <c r="J19" s="64" t="s">
        <v>47</v>
      </c>
      <c r="K19" s="62"/>
      <c r="L19" s="62"/>
      <c r="M19" s="62"/>
      <c r="N19" s="62"/>
      <c r="O19" s="35"/>
      <c r="P19" s="35"/>
      <c r="Q19" s="35"/>
    </row>
    <row r="20" spans="1:17" ht="30">
      <c r="A20" s="35"/>
      <c r="B20" s="61" t="s">
        <v>79</v>
      </c>
      <c r="C20" s="61" t="s">
        <v>80</v>
      </c>
      <c r="D20" s="61">
        <v>8</v>
      </c>
      <c r="E20" s="61">
        <v>2</v>
      </c>
      <c r="F20" s="61">
        <v>3</v>
      </c>
      <c r="G20" s="61">
        <v>3</v>
      </c>
      <c r="H20" s="60">
        <v>0.38541666666666669</v>
      </c>
      <c r="I20" s="61">
        <v>9</v>
      </c>
      <c r="J20" s="64" t="s">
        <v>47</v>
      </c>
      <c r="K20" s="62"/>
      <c r="L20" s="62"/>
      <c r="M20" s="62"/>
      <c r="N20" s="62"/>
      <c r="O20" s="35"/>
      <c r="P20" s="35"/>
      <c r="Q20" s="35"/>
    </row>
    <row r="21" spans="1:17">
      <c r="A21" s="35"/>
      <c r="B21" s="61" t="s">
        <v>81</v>
      </c>
      <c r="C21" s="61" t="s">
        <v>82</v>
      </c>
      <c r="D21" s="61">
        <v>8</v>
      </c>
      <c r="E21" s="61">
        <v>0</v>
      </c>
      <c r="F21" s="61">
        <v>3</v>
      </c>
      <c r="G21" s="61">
        <v>5</v>
      </c>
      <c r="H21" s="60">
        <v>0.17569444444444446</v>
      </c>
      <c r="I21" s="61">
        <v>3</v>
      </c>
      <c r="J21" s="64" t="s">
        <v>47</v>
      </c>
      <c r="K21" s="62"/>
      <c r="L21" s="62"/>
      <c r="M21" s="62"/>
      <c r="N21" s="62"/>
      <c r="O21" s="35"/>
      <c r="P21" s="35"/>
      <c r="Q21" s="35"/>
    </row>
    <row r="22" spans="1:17">
      <c r="A22" s="35"/>
      <c r="B22" s="61" t="s">
        <v>83</v>
      </c>
      <c r="C22" s="61" t="s">
        <v>84</v>
      </c>
      <c r="D22" s="61">
        <v>8</v>
      </c>
      <c r="E22" s="61">
        <v>0</v>
      </c>
      <c r="F22" s="61">
        <v>3</v>
      </c>
      <c r="G22" s="61">
        <v>5</v>
      </c>
      <c r="H22" s="60">
        <v>0.13333333333333333</v>
      </c>
      <c r="I22" s="61">
        <v>3</v>
      </c>
      <c r="J22" s="64" t="s">
        <v>47</v>
      </c>
      <c r="K22" s="62"/>
      <c r="L22" s="62"/>
      <c r="M22" s="62"/>
      <c r="N22" s="62"/>
      <c r="O22" s="35"/>
      <c r="P22" s="35"/>
      <c r="Q22" s="35"/>
    </row>
    <row r="23" spans="1:17">
      <c r="A23" s="35"/>
      <c r="B23" s="35"/>
      <c r="C23" s="35"/>
      <c r="D23" s="35"/>
      <c r="E23" s="35"/>
      <c r="F23" s="62"/>
      <c r="G23" s="62"/>
      <c r="H23" s="62"/>
      <c r="I23" s="62"/>
      <c r="J23" s="64"/>
      <c r="K23" s="62"/>
      <c r="L23" s="62"/>
      <c r="M23" s="62"/>
      <c r="N23" s="62"/>
      <c r="O23" s="35"/>
      <c r="P23" s="35"/>
      <c r="Q23" s="35"/>
    </row>
    <row r="24" spans="1:17">
      <c r="A24" s="35"/>
      <c r="B24" s="35"/>
      <c r="C24" s="35"/>
      <c r="D24" s="35"/>
      <c r="E24" s="35"/>
      <c r="F24" s="35"/>
      <c r="G24" s="35"/>
      <c r="H24" s="35"/>
      <c r="I24" s="35"/>
      <c r="K24" s="35"/>
      <c r="M24" s="35"/>
      <c r="O24" s="35"/>
      <c r="P24" s="35"/>
      <c r="Q24" s="35"/>
    </row>
    <row r="25" spans="1:17">
      <c r="A25" s="35"/>
      <c r="B25" s="35"/>
      <c r="C25" s="35"/>
      <c r="D25" s="35"/>
      <c r="E25" s="35"/>
      <c r="F25" s="35"/>
      <c r="G25" s="35"/>
      <c r="H25" s="35"/>
      <c r="I25" s="35"/>
      <c r="K25" s="35"/>
      <c r="M25" s="35"/>
      <c r="O25" s="35"/>
      <c r="P25" s="35"/>
      <c r="Q25" s="35"/>
    </row>
    <row r="26" spans="1:17">
      <c r="A26" s="35"/>
      <c r="B26" s="35"/>
      <c r="C26" s="35"/>
      <c r="D26" s="35"/>
      <c r="E26" s="35"/>
      <c r="F26" s="35"/>
      <c r="G26" s="35"/>
      <c r="H26" s="35"/>
      <c r="I26" s="35"/>
      <c r="K26" s="35"/>
      <c r="M26" s="35"/>
      <c r="O26" s="35"/>
      <c r="P26" s="35"/>
      <c r="Q26" s="35"/>
    </row>
    <row r="27" spans="1:17">
      <c r="A27" s="35"/>
      <c r="B27" s="35"/>
      <c r="C27" s="35"/>
      <c r="D27" s="35"/>
      <c r="E27" s="35"/>
      <c r="F27" s="35"/>
      <c r="G27" s="35"/>
      <c r="H27" s="35"/>
      <c r="I27" s="35"/>
      <c r="K27" s="35"/>
      <c r="M27" s="35"/>
      <c r="O27" s="35"/>
      <c r="P27" s="35"/>
      <c r="Q27" s="35"/>
    </row>
    <row r="28" spans="1:17">
      <c r="A28" s="35"/>
      <c r="B28" s="35"/>
      <c r="C28" s="35"/>
      <c r="D28" s="35"/>
      <c r="E28" s="35"/>
      <c r="F28" s="35"/>
      <c r="G28" s="35"/>
      <c r="H28" s="35"/>
      <c r="I28" s="35"/>
      <c r="K28" s="35"/>
      <c r="M28" s="35"/>
      <c r="O28" s="35"/>
      <c r="P28" s="35"/>
      <c r="Q28" s="35"/>
    </row>
    <row r="29" spans="1:17">
      <c r="A29" s="35"/>
      <c r="B29" s="35"/>
      <c r="C29" s="35"/>
      <c r="D29" s="35"/>
      <c r="E29" s="35"/>
      <c r="F29" s="35"/>
      <c r="G29" s="35"/>
      <c r="H29" s="35"/>
      <c r="I29" s="35"/>
      <c r="K29" s="35"/>
      <c r="M29" s="35"/>
      <c r="O29" s="35"/>
      <c r="P29" s="35"/>
      <c r="Q29" s="35"/>
    </row>
    <row r="30" spans="1:17">
      <c r="A30" s="35"/>
      <c r="B30" s="35"/>
      <c r="C30" s="35"/>
      <c r="D30" s="35"/>
      <c r="E30" s="35"/>
      <c r="F30" s="35"/>
      <c r="G30" s="35"/>
      <c r="H30" s="35"/>
      <c r="I30" s="35"/>
      <c r="K30" s="35"/>
      <c r="M30" s="35"/>
      <c r="O30" s="35"/>
      <c r="P30" s="35"/>
      <c r="Q30" s="35"/>
    </row>
    <row r="31" spans="1:17">
      <c r="A31" s="35"/>
      <c r="B31" s="35"/>
      <c r="C31" s="35"/>
      <c r="D31" s="35"/>
      <c r="E31" s="35"/>
      <c r="F31" s="35"/>
      <c r="G31" s="35"/>
      <c r="H31" s="35"/>
      <c r="I31" s="35"/>
      <c r="K31" s="35"/>
      <c r="M31" s="35"/>
      <c r="O31" s="35"/>
      <c r="P31" s="35"/>
      <c r="Q31" s="35"/>
    </row>
    <row r="32" spans="1:17">
      <c r="A32" s="35"/>
      <c r="B32" s="35"/>
      <c r="C32" s="35"/>
      <c r="D32" s="35"/>
      <c r="E32" s="35"/>
      <c r="F32" s="35"/>
      <c r="G32" s="35"/>
      <c r="H32" s="35"/>
      <c r="I32" s="35"/>
      <c r="K32" s="35"/>
      <c r="M32" s="35"/>
      <c r="O32" s="35"/>
      <c r="P32" s="35"/>
      <c r="Q32" s="35"/>
    </row>
    <row r="33" spans="1:17">
      <c r="A33" s="35"/>
      <c r="B33" s="35"/>
      <c r="C33" s="35"/>
      <c r="D33" s="35"/>
      <c r="E33" s="35"/>
      <c r="F33" s="35"/>
      <c r="G33" s="35"/>
      <c r="H33" s="35"/>
      <c r="I33" s="35"/>
      <c r="K33" s="35"/>
      <c r="M33" s="35"/>
      <c r="O33" s="35"/>
      <c r="P33" s="35"/>
      <c r="Q33" s="35"/>
    </row>
    <row r="34" spans="1:17">
      <c r="A34" s="35"/>
      <c r="B34" s="35"/>
      <c r="C34" s="35"/>
      <c r="D34" s="35"/>
      <c r="E34" s="35"/>
      <c r="F34" s="35"/>
      <c r="G34" s="35"/>
      <c r="H34" s="35"/>
      <c r="I34" s="35"/>
      <c r="K34" s="35"/>
      <c r="M34" s="35"/>
      <c r="O34" s="35"/>
      <c r="P34" s="35"/>
      <c r="Q34" s="35"/>
    </row>
    <row r="35" spans="1:17">
      <c r="A35" s="35"/>
      <c r="B35" s="35"/>
      <c r="C35" s="35"/>
      <c r="D35" s="35"/>
      <c r="E35" s="35"/>
      <c r="F35" s="35"/>
      <c r="G35" s="35"/>
      <c r="H35" s="35"/>
      <c r="I35" s="35"/>
      <c r="K35" s="35"/>
      <c r="M35" s="35"/>
      <c r="O35" s="35"/>
      <c r="P35" s="35"/>
      <c r="Q35" s="35"/>
    </row>
    <row r="36" spans="1:17">
      <c r="A36" s="35"/>
      <c r="B36" s="35"/>
      <c r="C36" s="35"/>
      <c r="D36" s="35"/>
      <c r="E36" s="35"/>
      <c r="F36" s="35"/>
      <c r="G36" s="35"/>
      <c r="H36" s="35"/>
      <c r="I36" s="35"/>
      <c r="K36" s="35"/>
      <c r="M36" s="35"/>
      <c r="O36" s="35"/>
      <c r="P36" s="35"/>
      <c r="Q36" s="35"/>
    </row>
    <row r="37" spans="1:17">
      <c r="A37" s="35"/>
      <c r="B37" s="35"/>
      <c r="C37" s="35"/>
      <c r="D37" s="35"/>
      <c r="E37" s="35"/>
      <c r="F37" s="35"/>
      <c r="G37" s="35"/>
      <c r="H37" s="35"/>
      <c r="I37" s="35"/>
      <c r="K37" s="35"/>
      <c r="M37" s="35"/>
      <c r="O37" s="35"/>
      <c r="P37" s="35"/>
      <c r="Q37" s="35"/>
    </row>
    <row r="38" spans="1:17">
      <c r="A38" s="35"/>
      <c r="B38" s="35"/>
      <c r="C38" s="35"/>
      <c r="D38" s="35"/>
      <c r="E38" s="35"/>
      <c r="F38" s="35"/>
      <c r="G38" s="35"/>
      <c r="H38" s="35"/>
      <c r="I38" s="35"/>
      <c r="K38" s="35"/>
      <c r="M38" s="35"/>
      <c r="O38" s="35"/>
      <c r="P38" s="35"/>
      <c r="Q38" s="35"/>
    </row>
    <row r="39" spans="1:17">
      <c r="A39" s="35"/>
      <c r="B39" s="35"/>
      <c r="C39" s="35"/>
      <c r="D39" s="35"/>
      <c r="E39" s="35"/>
      <c r="F39" s="35"/>
      <c r="G39" s="35"/>
      <c r="H39" s="35"/>
      <c r="I39" s="35"/>
      <c r="K39" s="35"/>
      <c r="M39" s="35"/>
      <c r="O39" s="35"/>
      <c r="P39" s="35"/>
      <c r="Q39" s="35"/>
    </row>
  </sheetData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Cálculos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2018-05-31T19:16:42Z</dcterms:modified>
</cp:coreProperties>
</file>