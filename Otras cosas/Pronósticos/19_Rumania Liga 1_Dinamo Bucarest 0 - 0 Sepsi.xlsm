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C40" l="1"/>
  <c r="J36"/>
  <c r="D40" s="1"/>
  <c r="E35"/>
  <c r="C39" s="1"/>
  <c r="E36"/>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10" i="1" s="1"/>
  <c r="L21" i="2"/>
  <c r="L12"/>
  <c r="L20"/>
  <c r="L13"/>
  <c r="T20" i="1"/>
  <c r="L14" i="2"/>
  <c r="L15"/>
  <c r="L18"/>
  <c r="L16"/>
  <c r="L17"/>
  <c r="F10" i="1" l="1"/>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D10"/>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12" l="1"/>
  <c r="AC9"/>
  <c r="AC8"/>
</calcChain>
</file>

<file path=xl/sharedStrings.xml><?xml version="1.0" encoding="utf-8"?>
<sst xmlns="http://schemas.openxmlformats.org/spreadsheetml/2006/main" count="147" uniqueCount="102">
  <si>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</si>
  <si>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</si>
  <si>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</si>
  <si>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</si>
  <si>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</si>
  <si>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</si>
  <si>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</si>
  <si>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</si>
  <si>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</si>
  <si>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</si>
  <si>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</si>
  <si>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</si>
  <si>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</si>
  <si>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</si>
  <si>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</si>
  <si>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</si>
  <si>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</si>
  <si>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</si>
  <si>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</si>
  <si>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</si>
  <si>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</si>
  <si>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</si>
  <si>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</si>
  <si>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</si>
  <si>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</si>
  <si>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</si>
  <si>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</si>
  <si>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</si>
  <si>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</si>
  <si>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</si>
  <si>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</si>
  <si>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</si>
  <si>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</si>
  <si>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</si>
  <si>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</si>
  <si>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</si>
  <si>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</si>
  <si>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</si>
  <si>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</si>
  <si>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</si>
  <si>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</si>
  <si>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</si>
  <si>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</si>
  <si>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</si>
  <si>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</si>
  <si>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</si>
  <si>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</si>
  <si>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</si>
  <si>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</si>
  <si>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</si>
  <si>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</si>
  <si>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</si>
  <si>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</si>
  <si>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</si>
  <si>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</si>
  <si>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</si>
  <si>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</si>
  <si>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</si>
  <si>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</si>
  <si>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</si>
  <si>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</si>
  <si>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</si>
  <si>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</si>
  <si>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</si>
  <si>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</si>
  <si>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</si>
  <si>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</si>
  <si>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</si>
  <si>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</si>
  <si>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</si>
  <si>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</si>
  <si>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</si>
  <si>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</si>
  <si>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</si>
  <si>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</si>
  <si>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</si>
  <si>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</si>
  <si>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1-0</t>
  </si>
  <si>
    <t>2-0</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</si>
  <si>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</si>
  <si>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</si>
  <si>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</si>
  <si>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</si>
  <si>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</si>
  <si>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</si>
  <si>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</si>
  <si>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</si>
  <si>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</si>
  <si>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</si>
  <si>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</si>
  <si>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</si>
  <si>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</si>
  <si>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</si>
  <si>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</si>
  <si>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</si>
  <si>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</si>
  <si>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</si>
  <si>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</si>
  <si>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</si>
  <si>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Dinamo Bucarest</t>
  </si>
  <si>
    <t>Sepsi</t>
  </si>
  <si>
    <t>Rumania Liga 1</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</si>
</sst>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84">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24" xfId="0" applyFill="1" applyBorder="1" applyAlignment="1">
      <alignment horizontal="center" vertical="center"/>
    </xf>
    <xf numFmtId="0" fontId="0" fillId="14" borderId="11" xfId="0" applyFill="1" applyBorder="1" applyAlignment="1">
      <alignment horizontal="center" vertical="center" textRotation="90"/>
    </xf>
    <xf numFmtId="0" fontId="0" fillId="14" borderId="6" xfId="0" applyFill="1" applyBorder="1" applyAlignment="1">
      <alignment horizontal="center" vertical="center"/>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4" fillId="6" borderId="2" xfId="4" applyBorder="1" applyAlignment="1">
      <alignment horizontal="center" vertical="center"/>
    </xf>
    <xf numFmtId="0" fontId="4" fillId="6" borderId="3" xfId="4" applyBorder="1" applyAlignment="1">
      <alignment horizontal="center" vertical="center"/>
    </xf>
    <xf numFmtId="0" fontId="4" fillId="6" borderId="23" xfId="4"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0" xfId="0" applyAlignment="1">
      <alignment horizontal="center" vertical="center" wrapText="1"/>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0" fillId="10" borderId="27" xfId="0" applyFill="1" applyBorder="1" applyAlignment="1">
      <alignment horizontal="center"/>
    </xf>
    <xf numFmtId="0" fontId="0" fillId="10" borderId="40" xfId="0" applyFill="1" applyBorder="1" applyAlignment="1">
      <alignment horizontal="center"/>
    </xf>
    <xf numFmtId="0" fontId="4" fillId="6" borderId="31" xfId="4" applyBorder="1" applyAlignment="1">
      <alignment horizontal="center" vertic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4" xfId="4" applyBorder="1" applyAlignment="1">
      <alignment horizontal="center" vertical="center"/>
    </xf>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8" xfId="0" applyFill="1" applyBorder="1" applyAlignment="1">
      <alignment horizontal="center" wrapText="1"/>
    </xf>
    <xf numFmtId="0" fontId="0" fillId="17" borderId="49" xfId="0" applyFill="1" applyBorder="1" applyAlignment="1">
      <alignment horizontal="center" wrapText="1"/>
    </xf>
    <xf numFmtId="0" fontId="0" fillId="17" borderId="15" xfId="0" applyFill="1" applyBorder="1" applyAlignment="1">
      <alignment horizontal="center" wrapText="1"/>
    </xf>
    <xf numFmtId="0" fontId="0" fillId="17" borderId="16" xfId="0" applyFill="1" applyBorder="1" applyAlignment="1">
      <alignment horizontal="center" wrapText="1"/>
    </xf>
    <xf numFmtId="0" fontId="0" fillId="17" borderId="62" xfId="0" applyFill="1" applyBorder="1" applyAlignment="1">
      <alignment horizontal="center"/>
    </xf>
    <xf numFmtId="0" fontId="0" fillId="17" borderId="63" xfId="0" applyFill="1" applyBorder="1" applyAlignment="1">
      <alignment horizontal="center"/>
    </xf>
    <xf numFmtId="10" fontId="0" fillId="17" borderId="62" xfId="0" applyNumberFormat="1" applyFill="1" applyBorder="1" applyAlignment="1">
      <alignment horizontal="center"/>
    </xf>
    <xf numFmtId="10" fontId="0" fillId="17" borderId="63" xfId="0" applyNumberFormat="1" applyFill="1" applyBorder="1" applyAlignment="1">
      <alignment horizontal="center"/>
    </xf>
    <xf numFmtId="0" fontId="0" fillId="17" borderId="4" xfId="0" applyFill="1" applyBorder="1" applyAlignment="1">
      <alignment horizontal="center" vertical="center"/>
    </xf>
    <xf numFmtId="0" fontId="3" fillId="9" borderId="27" xfId="3" applyFill="1" applyBorder="1" applyAlignment="1">
      <alignment horizontal="center"/>
    </xf>
    <xf numFmtId="0" fontId="3" fillId="9" borderId="28" xfId="3" applyFill="1" applyBorder="1" applyAlignment="1">
      <alignment horizont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B1" sqref="B1"/>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120" customWidth="1"/>
    <col min="26" max="26" width="9.28515625" style="120" customWidth="1"/>
    <col min="27" max="27" width="9.42578125" style="120" bestFit="1" customWidth="1"/>
    <col min="28" max="28" width="14.7109375" style="120" bestFit="1" customWidth="1"/>
  </cols>
  <sheetData>
    <row r="1" spans="1:33" ht="15.75" thickBot="1"/>
    <row r="2" spans="1:33" ht="15.75" thickBot="1">
      <c r="F2" s="65" t="s">
        <v>32</v>
      </c>
      <c r="G2" s="63"/>
      <c r="H2" s="63"/>
      <c r="I2" s="69" t="s">
        <v>31</v>
      </c>
      <c r="J2" s="63" t="s">
        <v>33</v>
      </c>
      <c r="K2" s="63"/>
      <c r="L2" s="64"/>
      <c r="N2" s="157" t="s">
        <v>36</v>
      </c>
      <c r="O2" s="158"/>
      <c r="P2" s="158"/>
      <c r="Q2" s="158"/>
      <c r="R2" s="158"/>
      <c r="S2" s="54">
        <v>20</v>
      </c>
    </row>
    <row r="3" spans="1:33" ht="15.75" thickBot="1">
      <c r="F3" s="68" t="str">
        <f>Cálculos!I4</f>
        <v>Dinamo Bucarest</v>
      </c>
      <c r="G3" s="66"/>
      <c r="H3" s="66"/>
      <c r="I3" s="70"/>
      <c r="J3" s="66" t="str">
        <f>Cálculos!M4</f>
        <v>Sepsi</v>
      </c>
      <c r="K3" s="66"/>
      <c r="L3" s="67"/>
    </row>
    <row r="4" spans="1:33" ht="15.75" thickBot="1">
      <c r="G4" s="60" t="str">
        <f>Cálculos!J5</f>
        <v>Rumania Liga 1</v>
      </c>
      <c r="H4" s="61"/>
      <c r="I4" s="61"/>
      <c r="J4" s="61"/>
      <c r="K4" s="62"/>
    </row>
    <row r="6" spans="1:33">
      <c r="A6" s="74"/>
      <c r="B6" s="74"/>
      <c r="C6" s="74"/>
      <c r="D6" s="74"/>
      <c r="E6" s="74"/>
      <c r="F6" s="74"/>
      <c r="G6" s="74"/>
      <c r="H6" s="74"/>
      <c r="I6" s="74"/>
      <c r="J6" s="74"/>
      <c r="K6" s="74"/>
      <c r="L6" s="74"/>
      <c r="M6" s="74"/>
      <c r="N6" s="74"/>
      <c r="O6" s="74"/>
      <c r="P6" s="74"/>
      <c r="Q6" s="74"/>
      <c r="R6" s="74"/>
      <c r="S6" s="74"/>
      <c r="T6" s="74"/>
      <c r="U6" s="74"/>
      <c r="V6" s="74"/>
      <c r="W6" s="74"/>
      <c r="X6" s="74"/>
      <c r="Y6" s="74"/>
      <c r="Z6" s="74"/>
      <c r="AA6" s="74"/>
      <c r="AB6" s="74"/>
      <c r="AC6" s="74"/>
      <c r="AD6" s="74"/>
      <c r="AE6" s="74"/>
      <c r="AF6" s="74"/>
      <c r="AG6" s="74"/>
    </row>
    <row r="7" spans="1:33" ht="15.75" thickBot="1"/>
    <row r="8" spans="1:33" ht="15.75" thickBot="1">
      <c r="D8" s="111" t="s">
        <v>83</v>
      </c>
      <c r="E8" s="112"/>
      <c r="F8" s="112"/>
      <c r="G8" s="112"/>
      <c r="H8" s="112"/>
      <c r="I8" s="112"/>
      <c r="J8" s="112"/>
      <c r="K8" s="112"/>
      <c r="L8" s="112"/>
      <c r="M8" s="112"/>
      <c r="N8" s="113"/>
      <c r="R8" s="71" t="s">
        <v>5</v>
      </c>
      <c r="S8" s="72"/>
      <c r="T8" s="72"/>
      <c r="U8" s="73"/>
      <c r="V8"/>
      <c r="W8" s="71" t="s">
        <v>6</v>
      </c>
      <c r="X8" s="72"/>
      <c r="Y8" s="72"/>
      <c r="Z8" s="73"/>
      <c r="AA8"/>
      <c r="AB8" s="165" t="s">
        <v>91</v>
      </c>
      <c r="AC8" s="167">
        <f>SUM(E12:N20,F11:N11,G10:N10,D13:D20)</f>
        <v>0.58946638800856499</v>
      </c>
    </row>
    <row r="9" spans="1:33" ht="15.75" customHeight="1" thickBot="1">
      <c r="C9" s="114" t="s">
        <v>81</v>
      </c>
      <c r="D9" s="148">
        <v>0</v>
      </c>
      <c r="E9" s="128">
        <v>1</v>
      </c>
      <c r="F9" s="128">
        <v>2</v>
      </c>
      <c r="G9" s="128">
        <v>3</v>
      </c>
      <c r="H9" s="128">
        <v>4</v>
      </c>
      <c r="I9" s="128">
        <v>5</v>
      </c>
      <c r="J9" s="128">
        <v>6</v>
      </c>
      <c r="K9" s="128">
        <v>7</v>
      </c>
      <c r="L9" s="128">
        <v>8</v>
      </c>
      <c r="M9" s="128">
        <v>9</v>
      </c>
      <c r="N9" s="129">
        <v>10</v>
      </c>
      <c r="R9" s="75" t="s">
        <v>2</v>
      </c>
      <c r="S9" s="76"/>
      <c r="T9" s="11" t="s">
        <v>4</v>
      </c>
      <c r="U9" s="132">
        <f>Cálculos!E35</f>
        <v>2</v>
      </c>
      <c r="V9"/>
      <c r="W9" s="75" t="s">
        <v>2</v>
      </c>
      <c r="X9" s="76"/>
      <c r="Y9" s="11" t="s">
        <v>4</v>
      </c>
      <c r="Z9" s="132">
        <f>Cálculos!J35</f>
        <v>1.2857142857142858</v>
      </c>
      <c r="AA9"/>
      <c r="AB9" s="176" t="s">
        <v>92</v>
      </c>
      <c r="AC9" s="166">
        <f>SUM(D10:D12,E11,E10,F10)</f>
        <v>0.41047001560596647</v>
      </c>
    </row>
    <row r="10" spans="1:33" ht="15.75" customHeight="1" thickBot="1">
      <c r="B10" s="106" t="s">
        <v>82</v>
      </c>
      <c r="C10" s="147">
        <v>0</v>
      </c>
      <c r="D10" s="155">
        <f>Cálculos!L11*Cálculos!M11</f>
        <v>4.7013134602485428E-2</v>
      </c>
      <c r="E10" s="149">
        <f>Cálculos!M12*Cálculos!L11</f>
        <v>2.5348095615164955E-2</v>
      </c>
      <c r="F10" s="123">
        <f>Cálculos!M13*Cálculos!L11</f>
        <v>6.8334727810467734E-3</v>
      </c>
      <c r="G10" s="123">
        <f>Cálculos!M14*Cálculos!L11</f>
        <v>1.2281356611097889E-3</v>
      </c>
      <c r="H10" s="123">
        <f>Cálculos!M15*Cálculos!L11</f>
        <v>1.6554363173945311E-4</v>
      </c>
      <c r="I10" s="123">
        <f>Cálculos!M16*Cálculos!L11</f>
        <v>1.7851248768217525E-5</v>
      </c>
      <c r="J10" s="123">
        <f>Cálculos!M17*Cálculos!L11</f>
        <v>1.604144474563326E-6</v>
      </c>
      <c r="K10" s="123">
        <f>Cálculos!M18*Cálculos!L11</f>
        <v>1.23558198501586E-7</v>
      </c>
      <c r="L10" s="123">
        <f>Cálculos!M19*Cálculos!L11</f>
        <v>8.3273670649110384E-9</v>
      </c>
      <c r="M10" s="123">
        <f>Cálculos!M20*Cálculos!L11</f>
        <v>4.9887452462600688E-10</v>
      </c>
      <c r="N10" s="130">
        <f>Cálculos!M21*Cálculos!L11</f>
        <v>2.6897843032830787E-11</v>
      </c>
      <c r="R10" s="77" t="s">
        <v>3</v>
      </c>
      <c r="S10" s="78"/>
      <c r="T10" s="12" t="s">
        <v>4</v>
      </c>
      <c r="U10" s="133">
        <f>Cálculos!E36</f>
        <v>0.5</v>
      </c>
      <c r="V10"/>
      <c r="W10" s="77" t="s">
        <v>3</v>
      </c>
      <c r="X10" s="78"/>
      <c r="Y10" s="12" t="s">
        <v>4</v>
      </c>
      <c r="Z10" s="133">
        <f>Cálculos!J36</f>
        <v>1.4285714285714286</v>
      </c>
      <c r="AA10"/>
    </row>
    <row r="11" spans="1:33" ht="15.75" thickBot="1">
      <c r="B11" s="107"/>
      <c r="C11" s="108">
        <v>1</v>
      </c>
      <c r="D11" s="152">
        <f>Cálculos!L12*Cálculos!M11</f>
        <v>0.11838658592393426</v>
      </c>
      <c r="E11" s="156">
        <f>Cálculos!L12*Cálculos!M12</f>
        <v>6.3830555544241052E-2</v>
      </c>
      <c r="F11" s="150">
        <f>Cálculos!L12*Cálculos!M13</f>
        <v>1.7207776494645631E-2</v>
      </c>
      <c r="G11" s="126">
        <f>Cálculos!L12*Cálculos!M14</f>
        <v>3.0926418584846988E-3</v>
      </c>
      <c r="H11" s="126">
        <f>Cálculos!L12*Cálculos!M15</f>
        <v>4.1686531963445821E-4</v>
      </c>
      <c r="I11" s="126">
        <f>Cálculos!L12*Cálculos!M16</f>
        <v>4.4952297140305639E-5</v>
      </c>
      <c r="J11" s="126">
        <f>Cálculos!L12*Cálculos!M17</f>
        <v>4.0394921393362208E-6</v>
      </c>
      <c r="K11" s="126">
        <f>Cálculos!L12*Cálculos!M18</f>
        <v>3.1113928920496237E-7</v>
      </c>
      <c r="L11" s="126">
        <f>Cálculos!L12*Cálculos!M19</f>
        <v>2.0969641035127072E-8</v>
      </c>
      <c r="M11" s="126">
        <f>Cálculos!L12*Cálculos!M20</f>
        <v>1.2562457762979351E-9</v>
      </c>
      <c r="N11" s="127">
        <f>Cálculos!L12*Cálculos!M21</f>
        <v>6.7733067201317241E-11</v>
      </c>
      <c r="S11"/>
      <c r="T11"/>
      <c r="U11"/>
      <c r="V11"/>
      <c r="W11"/>
      <c r="X11"/>
      <c r="Y11"/>
      <c r="Z11"/>
      <c r="AA11"/>
      <c r="AB11" s="168" t="s">
        <v>93</v>
      </c>
      <c r="AC11" s="169"/>
    </row>
    <row r="12" spans="1:33" ht="15.75" customHeight="1" thickBot="1">
      <c r="B12" s="107"/>
      <c r="C12" s="108">
        <v>2</v>
      </c>
      <c r="D12" s="122">
        <f>Cálculos!L13*Cálculos!M11</f>
        <v>0.149058171139094</v>
      </c>
      <c r="E12" s="153">
        <f>Cálculos!L13*Cálculos!M12</f>
        <v>8.0367769692506891E-2</v>
      </c>
      <c r="F12" s="156">
        <f>Cálculos!L13*Cálculos!M13</f>
        <v>2.1665965562265684E-2</v>
      </c>
      <c r="G12" s="150">
        <f>Cálculos!L13*Cálculos!M14</f>
        <v>3.8938832116514367E-3</v>
      </c>
      <c r="H12" s="126">
        <f>Cálculos!L13*Cálculos!M15</f>
        <v>5.2486674627098861E-4</v>
      </c>
      <c r="I12" s="126">
        <f>Cálculos!L13*Cálculos!M16</f>
        <v>5.6598533929682648E-5</v>
      </c>
      <c r="J12" s="126">
        <f>Cálculos!L13*Cálculos!M17</f>
        <v>5.086043371561344E-6</v>
      </c>
      <c r="K12" s="126">
        <f>Cálculos!L13*Cálculos!M18</f>
        <v>3.917492261176282E-7</v>
      </c>
      <c r="L12" s="126">
        <f>Cálculos!L13*Cálculos!M19</f>
        <v>2.6402453603549829E-8</v>
      </c>
      <c r="M12" s="126">
        <f>Cálculos!L13*Cálculos!M20</f>
        <v>1.5817138103509112E-9</v>
      </c>
      <c r="N12" s="127">
        <f>Cálculos!L13*Cálculos!M21</f>
        <v>8.5281343691731152E-11</v>
      </c>
      <c r="R12" s="159" t="s">
        <v>28</v>
      </c>
      <c r="S12" s="160" t="s">
        <v>7</v>
      </c>
      <c r="T12" s="160"/>
      <c r="U12" s="160"/>
      <c r="V12" s="160"/>
      <c r="W12" s="160"/>
      <c r="X12" s="160"/>
      <c r="Y12" s="161"/>
      <c r="Z12"/>
      <c r="AA12"/>
      <c r="AB12" s="174">
        <f>SUM(E11:N20)</f>
        <v>0.38314682098863556</v>
      </c>
      <c r="AC12" s="175"/>
    </row>
    <row r="13" spans="1:33" ht="15.75" customHeight="1" thickBot="1">
      <c r="B13" s="107"/>
      <c r="C13" s="108">
        <v>3</v>
      </c>
      <c r="D13" s="122">
        <f>Cálculos!L14*Cálculos!M11</f>
        <v>0.12511743178745582</v>
      </c>
      <c r="E13" s="124">
        <f>Cálculos!L14*Cálculos!M12</f>
        <v>6.7459629120425482E-2</v>
      </c>
      <c r="F13" s="153">
        <f>Cálculos!L14*Cálculos!M13</f>
        <v>1.8186121214492586E-2</v>
      </c>
      <c r="G13" s="156">
        <f>Cálculos!L14*Cálculos!M14</f>
        <v>3.2684733979963633E-3</v>
      </c>
      <c r="H13" s="150">
        <f>Cálculos!L14*Cálculos!M15</f>
        <v>4.4056611470688303E-4</v>
      </c>
      <c r="I13" s="126">
        <f>Cálculos!L14*Cálculos!M16</f>
        <v>4.7508051078991087E-5</v>
      </c>
      <c r="J13" s="126">
        <f>Cálculos!L14*Cálculos!M17</f>
        <v>4.2691566637803043E-6</v>
      </c>
      <c r="K13" s="126">
        <f>Cálculos!L14*Cálculos!M18</f>
        <v>3.2882905178557977E-7</v>
      </c>
      <c r="L13" s="126">
        <f>Cálculos!L14*Cálculos!M19</f>
        <v>2.2161865817346104E-8</v>
      </c>
      <c r="M13" s="126">
        <f>Cálculos!L14*Cálculos!M20</f>
        <v>1.3276693807626696E-9</v>
      </c>
      <c r="N13" s="127">
        <f>Cálculos!L14*Cálculos!M21</f>
        <v>7.1584017303793711E-11</v>
      </c>
      <c r="O13" s="32"/>
      <c r="R13" s="162"/>
      <c r="S13" s="163">
        <v>0</v>
      </c>
      <c r="T13" s="163">
        <v>1</v>
      </c>
      <c r="U13" s="163">
        <v>2</v>
      </c>
      <c r="V13" s="163">
        <v>3</v>
      </c>
      <c r="W13" s="163">
        <v>4</v>
      </c>
      <c r="X13" s="163">
        <v>5</v>
      </c>
      <c r="Y13" s="164">
        <v>6</v>
      </c>
      <c r="Z13"/>
      <c r="AA13" s="33"/>
    </row>
    <row r="14" spans="1:33" ht="15.75" customHeight="1" thickBot="1">
      <c r="B14" s="107"/>
      <c r="C14" s="108">
        <v>4</v>
      </c>
      <c r="D14" s="122">
        <f>Cálculos!L15*Cálculos!M11</f>
        <v>7.8766421948519419E-2</v>
      </c>
      <c r="E14" s="124">
        <f>Cálculos!L15*Cálculos!M12</f>
        <v>4.2468531649662536E-2</v>
      </c>
      <c r="F14" s="124">
        <f>Cálculos!L15*Cálculos!M13</f>
        <v>1.1448889868687829E-2</v>
      </c>
      <c r="G14" s="153">
        <f>Cálculos!L15*Cálculos!M14</f>
        <v>2.0576345846950476E-3</v>
      </c>
      <c r="H14" s="156">
        <f>Cálculos!L15*Cálculos!M15</f>
        <v>2.7735397051765039E-4</v>
      </c>
      <c r="I14" s="150">
        <f>Cálculos!L15*Cálculos!M16</f>
        <v>2.9908216175636039E-5</v>
      </c>
      <c r="J14" s="126">
        <f>Cálculos!L15*Cálculos!M17</f>
        <v>2.687604679377432E-6</v>
      </c>
      <c r="K14" s="126">
        <f>Cálculos!L15*Cálculos!M18</f>
        <v>2.0701102533716889E-7</v>
      </c>
      <c r="L14" s="126">
        <f>Cálculos!L15*Cálculos!M19</f>
        <v>1.3951779933438226E-8</v>
      </c>
      <c r="M14" s="126">
        <f>Cálculos!L15*Cálculos!M20</f>
        <v>8.3582091767141438E-10</v>
      </c>
      <c r="N14" s="127">
        <f>Cálculos!L15*Cálculos!M21</f>
        <v>4.5064998786891928E-11</v>
      </c>
      <c r="O14" s="33"/>
      <c r="R14" s="24" t="s">
        <v>8</v>
      </c>
      <c r="S14" s="46">
        <f>Cálculos!L11</f>
        <v>8.0607940863056823E-2</v>
      </c>
      <c r="T14" s="47">
        <f>Cálculos!L12</f>
        <v>0.2029836767495862</v>
      </c>
      <c r="U14" s="47">
        <f>Cálculos!L13</f>
        <v>0.25557266806243301</v>
      </c>
      <c r="V14" s="47">
        <f>Cálculos!L14</f>
        <v>0.21452427343416491</v>
      </c>
      <c r="W14" s="47">
        <f>Cálculos!L15</f>
        <v>0.13505160070915953</v>
      </c>
      <c r="X14" s="47">
        <f>Cálculos!L16</f>
        <v>6.8016302536332146E-2</v>
      </c>
      <c r="Y14" s="48">
        <f>Cálculos!L17</f>
        <v>2.8545986536636585E-2</v>
      </c>
      <c r="Z14"/>
      <c r="AA14"/>
      <c r="AB14" s="168" t="s">
        <v>88</v>
      </c>
      <c r="AC14" s="169"/>
    </row>
    <row r="15" spans="1:33" ht="15.75" thickBot="1">
      <c r="B15" s="107"/>
      <c r="C15" s="108">
        <v>5</v>
      </c>
      <c r="D15" s="122">
        <f>Cálculos!L16*Cálculos!M11</f>
        <v>3.9669287567293064E-2</v>
      </c>
      <c r="E15" s="124">
        <f>Cálculos!L16*Cálculos!M12</f>
        <v>2.1388509886512846E-2</v>
      </c>
      <c r="F15" s="124">
        <f>Cálculos!L16*Cálculos!M13</f>
        <v>5.7660268588064596E-3</v>
      </c>
      <c r="G15" s="124">
        <f>Cálculos!L16*Cálculos!M14</f>
        <v>1.0362905414444789E-3</v>
      </c>
      <c r="H15" s="153">
        <f>Cálculos!L16*Cálculos!M15</f>
        <v>1.3968432413479726E-4</v>
      </c>
      <c r="I15" s="156">
        <f>Cálculos!L16*Cálculos!M16</f>
        <v>1.5062733570296114E-5</v>
      </c>
      <c r="J15" s="150">
        <f>Cálculos!L16*Cálculos!M17</f>
        <v>1.3535636157639364E-6</v>
      </c>
      <c r="K15" s="126">
        <f>Cálculos!L16*Cálculos!M18</f>
        <v>1.0425736869281143E-7</v>
      </c>
      <c r="L15" s="126">
        <f>Cálculos!L16*Cálculos!M19</f>
        <v>7.0265622909325678E-9</v>
      </c>
      <c r="M15" s="126">
        <f>Cálculos!L16*Cálculos!M20</f>
        <v>4.209461280282183E-10</v>
      </c>
      <c r="N15" s="127">
        <f>Cálculos!L16*Cálculos!M21</f>
        <v>2.2696173723180436E-11</v>
      </c>
      <c r="O15" s="33"/>
      <c r="R15" s="25" t="s">
        <v>9</v>
      </c>
      <c r="S15" s="49">
        <f>Cálculos!M11</f>
        <v>0.58323205008244883</v>
      </c>
      <c r="T15" s="50">
        <f>Cálculos!M12</f>
        <v>0.31446152009053691</v>
      </c>
      <c r="U15" s="50">
        <f>Cálculos!M13</f>
        <v>8.4774188595835992E-2</v>
      </c>
      <c r="V15" s="50">
        <f>Cálculos!M14</f>
        <v>1.5235914079435963E-2</v>
      </c>
      <c r="W15" s="50">
        <f>Cálculos!M15</f>
        <v>2.0536888793709763E-3</v>
      </c>
      <c r="X15" s="50">
        <f>Cálculos!M16</f>
        <v>2.2145769482617906E-4</v>
      </c>
      <c r="Y15" s="51">
        <f>Cálculos!M17</f>
        <v>1.9900576263181988E-5</v>
      </c>
      <c r="Z15"/>
      <c r="AA15" s="33"/>
      <c r="AB15" s="170" t="s">
        <v>78</v>
      </c>
      <c r="AC15" s="171"/>
    </row>
    <row r="16" spans="1:33" ht="15.75" thickBot="1">
      <c r="B16" s="107"/>
      <c r="C16" s="108">
        <v>6</v>
      </c>
      <c r="D16" s="122">
        <f>Cálculos!L17*Cálculos!M11</f>
        <v>1.6648934249388538E-2</v>
      </c>
      <c r="E16" s="124">
        <f>Cálculos!L17*Cálculos!M12</f>
        <v>8.9766143187947414E-3</v>
      </c>
      <c r="F16" s="124">
        <f>Cálculos!L17*Cálculos!M13</f>
        <v>2.4199628463110251E-3</v>
      </c>
      <c r="G16" s="124">
        <f>Cálculos!L17*Cálculos!M14</f>
        <v>4.3492419818493076E-4</v>
      </c>
      <c r="H16" s="124">
        <f>Cálculos!L17*Cálculos!M15</f>
        <v>5.8624575100964165E-5</v>
      </c>
      <c r="I16" s="153">
        <f>Cálculos!L17*Cálculos!M16</f>
        <v>6.3217283749426805E-6</v>
      </c>
      <c r="J16" s="156">
        <f>Cálculos!L17*Cálculos!M17</f>
        <v>5.6808158208010265E-7</v>
      </c>
      <c r="K16" s="150">
        <f>Cálculos!L17*Cálculos!M18</f>
        <v>4.3756119225393025E-8</v>
      </c>
      <c r="L16" s="126">
        <f>Cálculos!L17*Cálculos!M19</f>
        <v>2.9490011229095533E-9</v>
      </c>
      <c r="M16" s="126">
        <f>Cálculos!L17*Cálculos!M20</f>
        <v>1.7666827003605617E-10</v>
      </c>
      <c r="N16" s="127">
        <f>Cálculos!L17*Cálculos!M21</f>
        <v>9.525432071068466E-12</v>
      </c>
      <c r="O16" s="33"/>
      <c r="S16"/>
      <c r="T16"/>
      <c r="U16"/>
      <c r="V16"/>
      <c r="W16"/>
      <c r="X16"/>
      <c r="Y16"/>
      <c r="Z16"/>
      <c r="AA16"/>
      <c r="AB16" s="172" t="s">
        <v>77</v>
      </c>
      <c r="AC16" s="173"/>
    </row>
    <row r="17" spans="1:33" ht="15.75" customHeight="1" thickBot="1">
      <c r="B17" s="107"/>
      <c r="C17" s="108">
        <v>7</v>
      </c>
      <c r="D17" s="122">
        <f>Cálculos!L18*Cálculos!M11</f>
        <v>5.9892395777807255E-3</v>
      </c>
      <c r="E17" s="124">
        <f>Cálculos!L18*Cálculos!M12</f>
        <v>3.2292213391720962E-3</v>
      </c>
      <c r="F17" s="124">
        <f>Cálculos!L18*Cálculos!M13</f>
        <v>8.705504531869476E-4</v>
      </c>
      <c r="G17" s="124">
        <f>Cálculos!L18*Cálculos!M14</f>
        <v>1.5645837637922103E-4</v>
      </c>
      <c r="H17" s="124">
        <f>Cálculos!L18*Cálculos!M15</f>
        <v>2.1089435525770573E-5</v>
      </c>
      <c r="I17" s="124">
        <f>Cálculos!L18*Cálculos!M16</f>
        <v>2.2741603285853987E-6</v>
      </c>
      <c r="J17" s="153">
        <f>Cálculos!L18*Cálculos!M17</f>
        <v>2.0436002952725931E-7</v>
      </c>
      <c r="K17" s="156">
        <f>Cálculos!L18*Cálculos!M18</f>
        <v>1.5740700101836298E-8</v>
      </c>
      <c r="L17" s="150">
        <f>Cálculos!L18*Cálculos!M19</f>
        <v>1.0608651566329764E-9</v>
      </c>
      <c r="M17" s="126">
        <f>Cálculos!L18*Cálculos!M20</f>
        <v>6.3554133807505505E-11</v>
      </c>
      <c r="N17" s="127">
        <f>Cálculos!L18*Cálculos!M21</f>
        <v>3.4266514541373932E-12</v>
      </c>
      <c r="R17" s="135"/>
      <c r="S17" s="136"/>
      <c r="T17" s="137" t="s">
        <v>90</v>
      </c>
      <c r="U17" s="138" t="s">
        <v>89</v>
      </c>
      <c r="V17"/>
      <c r="Y17"/>
    </row>
    <row r="18" spans="1:33" ht="15.75" thickBot="1">
      <c r="B18" s="107"/>
      <c r="C18" s="108">
        <v>8</v>
      </c>
      <c r="D18" s="122">
        <f>Cálculos!L19*Cálculos!M11</f>
        <v>1.8852327968801317E-3</v>
      </c>
      <c r="E18" s="124">
        <f>Cálculos!L19*Cálculos!M12</f>
        <v>1.0164619227418222E-3</v>
      </c>
      <c r="F18" s="124">
        <f>Cálculos!L19*Cálculos!M13</f>
        <v>2.7402314507095208E-4</v>
      </c>
      <c r="G18" s="124">
        <f>Cálculos!L19*Cálculos!M14</f>
        <v>4.9248399344548993E-5</v>
      </c>
      <c r="H18" s="124">
        <f>Cálculos!L19*Cálculos!M15</f>
        <v>6.6383211098067183E-6</v>
      </c>
      <c r="I18" s="124">
        <f>Cálculos!L19*Cálculos!M16</f>
        <v>7.1583739156441129E-7</v>
      </c>
      <c r="J18" s="124">
        <f>Cálculos!L19*Cálculos!M17</f>
        <v>6.4326401546110691E-8</v>
      </c>
      <c r="K18" s="153">
        <f>Cálculos!L19*Cálculos!M18</f>
        <v>4.9546997899242592E-9</v>
      </c>
      <c r="L18" s="156">
        <f>Cálculos!L19*Cálculos!M19</f>
        <v>3.3392849966655439E-10</v>
      </c>
      <c r="M18" s="150">
        <f>Cálculos!L19*Cálculos!M20</f>
        <v>2.0004933159747495E-11</v>
      </c>
      <c r="N18" s="127">
        <f>Cálculos!L19*Cálculos!M21</f>
        <v>1.0786069952490585E-12</v>
      </c>
      <c r="R18" s="139" t="s">
        <v>27</v>
      </c>
      <c r="S18" s="134"/>
      <c r="T18" s="143">
        <f>Cálculos!C39</f>
        <v>1.7627118644067796</v>
      </c>
      <c r="U18" s="144">
        <f>Cálculos!D39</f>
        <v>1.0783410138248848</v>
      </c>
      <c r="V18"/>
      <c r="Y18"/>
    </row>
    <row r="19" spans="1:33" ht="15.75" thickBot="1">
      <c r="B19" s="107"/>
      <c r="C19" s="108">
        <v>9</v>
      </c>
      <c r="D19" s="122">
        <f>Cálculos!L20*Cálculos!M11</f>
        <v>5.2747971717926744E-4</v>
      </c>
      <c r="E19" s="124">
        <f>Cálculos!L20*Cálculos!M12</f>
        <v>2.8440150649757738E-4</v>
      </c>
      <c r="F19" s="124">
        <f>Cálculos!L20*Cálculos!M13</f>
        <v>7.6670452212480538E-5</v>
      </c>
      <c r="G19" s="124">
        <f>Cálculos!L20*Cálculos!M14</f>
        <v>1.3779482194869775E-5</v>
      </c>
      <c r="H19" s="124">
        <f>Cálculos!L20*Cálculos!M15</f>
        <v>1.8573725999997276E-6</v>
      </c>
      <c r="I19" s="124">
        <f>Cálculos!L20*Cálculos!M16</f>
        <v>2.0028810525342689E-7</v>
      </c>
      <c r="J19" s="124">
        <f>Cálculos!L20*Cálculos!M17</f>
        <v>1.7998239873003798E-8</v>
      </c>
      <c r="K19" s="124">
        <f>Cálculos!L20*Cálculos!M18</f>
        <v>1.38630287369417E-9</v>
      </c>
      <c r="L19" s="153">
        <f>Cálculos!L20*Cálculos!M19</f>
        <v>9.343170289298267E-11</v>
      </c>
      <c r="M19" s="156">
        <f>Cálculos!L20*Cálculos!M20</f>
        <v>5.5972909567224633E-12</v>
      </c>
      <c r="N19" s="151">
        <f>Cálculos!L20*Cálculos!M21</f>
        <v>3.0178942024724804E-13</v>
      </c>
      <c r="R19" s="139" t="s">
        <v>79</v>
      </c>
      <c r="S19" s="134"/>
      <c r="T19" s="143">
        <f>Cálculos!C40</f>
        <v>0.41935483870967744</v>
      </c>
      <c r="U19" s="144">
        <f>Cálculos!D40</f>
        <v>1.2590799031476998</v>
      </c>
      <c r="V19"/>
      <c r="Y19"/>
      <c r="Z19"/>
      <c r="AA19"/>
      <c r="AB19"/>
    </row>
    <row r="20" spans="1:33" ht="15.75" thickBot="1">
      <c r="B20" s="109"/>
      <c r="C20" s="110">
        <v>10</v>
      </c>
      <c r="D20" s="131">
        <f>Cálculos!L21*Cálculos!M11</f>
        <v>1.3282782224368966E-4</v>
      </c>
      <c r="E20" s="125">
        <f>Cálculos!L21*Cálculos!M12</f>
        <v>7.1616844251205932E-5</v>
      </c>
      <c r="F20" s="125">
        <f>Cálculos!L21*Cálculos!M13</f>
        <v>1.9306845109196072E-5</v>
      </c>
      <c r="G20" s="125">
        <f>Cálculos!L21*Cálculos!M14</f>
        <v>3.4698938214684189E-6</v>
      </c>
      <c r="H20" s="125">
        <f>Cálculos!L21*Cálculos!M15</f>
        <v>4.6771610266336974E-7</v>
      </c>
      <c r="I20" s="125">
        <f>Cálculos!L21*Cálculos!M16</f>
        <v>5.0435745632824215E-8</v>
      </c>
      <c r="J20" s="125">
        <f>Cálculos!L21*Cálculos!M17</f>
        <v>4.5322444232261387E-9</v>
      </c>
      <c r="K20" s="125">
        <f>Cálculos!L21*Cálculos!M18</f>
        <v>3.4909321758884674E-10</v>
      </c>
      <c r="L20" s="125">
        <f>Cálculos!L21*Cálculos!M19</f>
        <v>2.352759588588426E-11</v>
      </c>
      <c r="M20" s="154">
        <f>Cálculos!L21*Cálculos!M20</f>
        <v>1.4094873111359234E-12</v>
      </c>
      <c r="N20" s="156">
        <f>Cálculos!L21*Cálculos!M21</f>
        <v>7.5995398803181116E-14</v>
      </c>
      <c r="R20" s="140" t="s">
        <v>80</v>
      </c>
      <c r="S20" s="141"/>
      <c r="T20" s="145">
        <f>Cálculos!C41</f>
        <v>2.5181598062953996</v>
      </c>
      <c r="U20" s="146">
        <f>Cálculos!D41</f>
        <v>0.53917050691244239</v>
      </c>
      <c r="V20"/>
      <c r="Y20"/>
      <c r="Z20"/>
      <c r="AA20"/>
      <c r="AB20"/>
    </row>
    <row r="23" spans="1:33">
      <c r="A23" s="1"/>
      <c r="B23" s="1"/>
      <c r="C23" s="1"/>
      <c r="D23" s="1"/>
      <c r="E23" s="1"/>
      <c r="F23" s="1"/>
      <c r="G23" s="1"/>
      <c r="H23" s="1"/>
      <c r="I23" s="1"/>
      <c r="J23" s="1"/>
      <c r="K23" s="1"/>
      <c r="L23" s="1"/>
      <c r="M23" s="1"/>
      <c r="N23" s="1"/>
      <c r="O23" s="1"/>
      <c r="P23" s="1"/>
      <c r="Q23" s="1"/>
      <c r="R23" s="1"/>
      <c r="S23" s="121"/>
      <c r="T23" s="121"/>
      <c r="U23" s="121"/>
      <c r="V23" s="74"/>
      <c r="W23" s="74"/>
      <c r="X23" s="74"/>
      <c r="Y23" s="74"/>
      <c r="Z23" s="74"/>
      <c r="AA23" s="74"/>
      <c r="AB23" s="74"/>
      <c r="AC23" s="74"/>
      <c r="AD23" s="74"/>
      <c r="AE23" s="74"/>
      <c r="AF23" s="74"/>
      <c r="AG23" s="74"/>
    </row>
    <row r="28" spans="1:33">
      <c r="AC28" s="120"/>
      <c r="AD28" s="120"/>
      <c r="AE28" s="120"/>
    </row>
    <row r="29" spans="1:33">
      <c r="AC29" s="120"/>
      <c r="AD29" s="120"/>
      <c r="AE29" s="120"/>
    </row>
    <row r="30" spans="1:33" ht="15" customHeight="1">
      <c r="AC30" s="120"/>
      <c r="AD30" s="120"/>
      <c r="AE30" s="120"/>
    </row>
    <row r="31" spans="1:33">
      <c r="AC31" s="120"/>
      <c r="AD31" s="120"/>
      <c r="AE31" s="120"/>
    </row>
    <row r="32" spans="1:33">
      <c r="AC32" s="120"/>
      <c r="AD32" s="120"/>
      <c r="AE32" s="120"/>
    </row>
    <row r="33" spans="29:31">
      <c r="AC33" s="120"/>
      <c r="AD33" s="120"/>
      <c r="AE33" s="120"/>
    </row>
    <row r="34" spans="29:31">
      <c r="AC34" s="120"/>
      <c r="AD34" s="120"/>
      <c r="AE34" s="120"/>
    </row>
  </sheetData>
  <mergeCells count="29">
    <mergeCell ref="V6:AG6"/>
    <mergeCell ref="V23:AG23"/>
    <mergeCell ref="AB11:AC11"/>
    <mergeCell ref="AB12:AC12"/>
    <mergeCell ref="AB16:AC16"/>
    <mergeCell ref="AB15:AC15"/>
    <mergeCell ref="AB14:AC14"/>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A6" sqref="A6:U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82" t="s">
        <v>34</v>
      </c>
      <c r="C2" s="82"/>
    </row>
    <row r="3" spans="1:26">
      <c r="I3" s="83" t="s">
        <v>32</v>
      </c>
      <c r="J3" s="84"/>
      <c r="K3" s="84"/>
      <c r="L3" s="85" t="s">
        <v>31</v>
      </c>
      <c r="M3" s="84" t="s">
        <v>33</v>
      </c>
      <c r="N3" s="84"/>
      <c r="O3" s="87"/>
    </row>
    <row r="4" spans="1:26" ht="15.75" thickBot="1">
      <c r="I4" s="88" t="s">
        <v>99</v>
      </c>
      <c r="J4" s="89"/>
      <c r="K4" s="89"/>
      <c r="L4" s="86"/>
      <c r="M4" s="89" t="s">
        <v>100</v>
      </c>
      <c r="N4" s="89"/>
      <c r="O4" s="90"/>
    </row>
    <row r="5" spans="1:26" ht="15.75" thickBot="1">
      <c r="J5" s="79" t="s">
        <v>101</v>
      </c>
      <c r="K5" s="80"/>
      <c r="L5" s="80"/>
      <c r="M5" s="80"/>
      <c r="N5" s="81"/>
    </row>
    <row r="6" spans="1:26">
      <c r="A6" s="91" t="s">
        <v>29</v>
      </c>
      <c r="B6" s="91"/>
      <c r="C6" s="91"/>
      <c r="D6" s="91"/>
      <c r="E6" s="91"/>
      <c r="F6" s="91"/>
      <c r="G6" s="91"/>
      <c r="H6" s="91"/>
      <c r="I6" s="91"/>
      <c r="J6" s="91"/>
      <c r="K6" s="91"/>
      <c r="L6" s="91"/>
      <c r="M6" s="91"/>
      <c r="N6" s="91"/>
      <c r="O6" s="91"/>
      <c r="P6" s="91"/>
      <c r="Q6" s="91"/>
      <c r="R6" s="91"/>
      <c r="S6" s="91"/>
      <c r="T6" s="91"/>
      <c r="U6" s="91"/>
    </row>
    <row r="7" spans="1:26" ht="15.75" thickBot="1">
      <c r="A7" s="92"/>
      <c r="B7" s="92"/>
      <c r="C7" s="92"/>
      <c r="D7" s="92"/>
      <c r="E7" s="92"/>
      <c r="F7" s="92"/>
      <c r="G7" s="92"/>
      <c r="H7" s="92"/>
      <c r="I7" s="92"/>
      <c r="J7" s="92"/>
      <c r="K7" s="92"/>
      <c r="L7" s="92"/>
      <c r="M7" s="92"/>
      <c r="N7" s="92"/>
      <c r="O7" s="92"/>
      <c r="P7" s="92"/>
      <c r="Q7" s="92"/>
      <c r="R7" s="92"/>
      <c r="S7" s="92"/>
      <c r="T7" s="92"/>
      <c r="U7" s="92"/>
    </row>
    <row r="8" spans="1:26" ht="15.75" thickTop="1"/>
    <row r="9" spans="1:26" ht="15.75" thickBot="1">
      <c r="P9" s="93" t="s">
        <v>23</v>
      </c>
      <c r="Q9" s="93"/>
    </row>
    <row r="10" spans="1:26" ht="15.75" thickBot="1">
      <c r="C10" s="96" t="s">
        <v>10</v>
      </c>
      <c r="D10" s="97"/>
      <c r="H10" s="98" t="s">
        <v>14</v>
      </c>
      <c r="I10" s="99"/>
      <c r="K10" s="15"/>
      <c r="L10" s="16" t="s">
        <v>0</v>
      </c>
      <c r="M10" s="17" t="s">
        <v>1</v>
      </c>
      <c r="P10" s="14" t="s">
        <v>97</v>
      </c>
      <c r="Q10" s="14" t="s">
        <v>98</v>
      </c>
      <c r="R10" s="14" t="s">
        <v>95</v>
      </c>
      <c r="T10" s="142" t="s">
        <v>96</v>
      </c>
      <c r="U10" s="142"/>
      <c r="V10" s="142"/>
      <c r="W10" s="142"/>
      <c r="X10" s="142"/>
      <c r="Y10" s="142"/>
      <c r="Z10" s="142"/>
    </row>
    <row r="11" spans="1:26" ht="15.75" thickBot="1">
      <c r="C11" s="22" t="s">
        <v>11</v>
      </c>
      <c r="D11" s="23" t="s">
        <v>12</v>
      </c>
      <c r="E11" s="7"/>
      <c r="H11" s="30" t="s">
        <v>12</v>
      </c>
      <c r="I11" s="31" t="s">
        <v>11</v>
      </c>
      <c r="K11" s="24" t="s">
        <v>16</v>
      </c>
      <c r="L11" s="52">
        <f>((C41^0)*(2.71828^(-C41)))/FACT(0)</f>
        <v>8.0607940863056823E-2</v>
      </c>
      <c r="M11" s="53">
        <f>((D41^0)*(2.71828^(-D41)))/FACT(0)</f>
        <v>0.58323205008244883</v>
      </c>
      <c r="P11" s="34">
        <v>12</v>
      </c>
      <c r="Q11" s="35">
        <v>17</v>
      </c>
      <c r="R11" s="179">
        <v>6</v>
      </c>
      <c r="T11" s="142"/>
      <c r="U11" s="142"/>
      <c r="V11" s="142"/>
      <c r="W11" s="142"/>
      <c r="X11" s="142"/>
      <c r="Y11" s="142"/>
      <c r="Z11" s="142"/>
    </row>
    <row r="12" spans="1:26">
      <c r="C12" s="40">
        <v>2</v>
      </c>
      <c r="D12" s="41">
        <v>0</v>
      </c>
      <c r="H12" s="40">
        <v>1</v>
      </c>
      <c r="I12" s="41">
        <v>1</v>
      </c>
      <c r="K12" s="24" t="s">
        <v>17</v>
      </c>
      <c r="L12" s="52">
        <f>((C41^1)*(2.71828^(-C41)))/FACT(1)</f>
        <v>0.2029836767495862</v>
      </c>
      <c r="M12" s="53">
        <f>((D41^1)*(2.71828^(-D41)))/FACT(1)</f>
        <v>0.31446152009053691</v>
      </c>
      <c r="P12" s="36">
        <v>12</v>
      </c>
      <c r="Q12" s="37">
        <v>7</v>
      </c>
      <c r="R12" s="180">
        <v>7</v>
      </c>
      <c r="T12" s="142"/>
      <c r="U12" s="142"/>
      <c r="V12" s="142"/>
      <c r="W12" s="142"/>
      <c r="X12" s="142"/>
      <c r="Y12" s="142"/>
      <c r="Z12" s="142"/>
    </row>
    <row r="13" spans="1:26">
      <c r="C13" s="42">
        <v>2</v>
      </c>
      <c r="D13" s="37">
        <v>0</v>
      </c>
      <c r="H13" s="42">
        <v>2</v>
      </c>
      <c r="I13" s="37">
        <v>1</v>
      </c>
      <c r="K13" s="24" t="s">
        <v>18</v>
      </c>
      <c r="L13" s="52">
        <f>((C41^2)*(2.71828^(-C41)))/FACT(2)</f>
        <v>0.25557266806243301</v>
      </c>
      <c r="M13" s="53">
        <f>((D41^2)*(2.71828^(-D41)))/FACT(2)</f>
        <v>8.4774188595835992E-2</v>
      </c>
      <c r="P13" s="36">
        <v>11</v>
      </c>
      <c r="Q13" s="37">
        <v>10</v>
      </c>
      <c r="R13" s="180">
        <v>7</v>
      </c>
      <c r="T13" s="142"/>
      <c r="U13" s="142"/>
      <c r="V13" s="142"/>
      <c r="W13" s="142"/>
      <c r="X13" s="142"/>
      <c r="Y13" s="142"/>
      <c r="Z13" s="142"/>
    </row>
    <row r="14" spans="1:26">
      <c r="C14" s="42">
        <v>1</v>
      </c>
      <c r="D14" s="37">
        <v>0</v>
      </c>
      <c r="H14" s="42">
        <v>2</v>
      </c>
      <c r="I14" s="37">
        <v>2</v>
      </c>
      <c r="K14" s="24" t="s">
        <v>19</v>
      </c>
      <c r="L14" s="52">
        <f>((C41^3)*(2.71828^(-C41)))/FACT(3)</f>
        <v>0.21452427343416491</v>
      </c>
      <c r="M14" s="53">
        <f>((D41^3)*(2.71828^(-D41)))/FACT(3)</f>
        <v>1.5235914079435963E-2</v>
      </c>
      <c r="P14" s="36">
        <v>8</v>
      </c>
      <c r="Q14" s="37">
        <v>10</v>
      </c>
      <c r="R14" s="180">
        <v>7</v>
      </c>
    </row>
    <row r="15" spans="1:26">
      <c r="C15" s="42">
        <v>3</v>
      </c>
      <c r="D15" s="37">
        <v>1</v>
      </c>
      <c r="H15" s="42">
        <v>0</v>
      </c>
      <c r="I15" s="37">
        <v>2</v>
      </c>
      <c r="K15" s="24" t="s">
        <v>21</v>
      </c>
      <c r="L15" s="52">
        <f>((C41^4)*(2.71828^(-C41)))/FACT(4)</f>
        <v>0.13505160070915953</v>
      </c>
      <c r="M15" s="53">
        <f>((D41^4)*(2.71828^(-D41)))/FACT(4)</f>
        <v>2.0536888793709763E-3</v>
      </c>
      <c r="P15" s="36">
        <v>3</v>
      </c>
      <c r="Q15" s="37">
        <v>6</v>
      </c>
      <c r="R15" s="180">
        <v>6</v>
      </c>
    </row>
    <row r="16" spans="1:26">
      <c r="C16" s="42">
        <v>1</v>
      </c>
      <c r="D16" s="37">
        <v>2</v>
      </c>
      <c r="H16" s="42">
        <v>2</v>
      </c>
      <c r="I16" s="37">
        <v>2</v>
      </c>
      <c r="K16" s="24" t="s">
        <v>20</v>
      </c>
      <c r="L16" s="52">
        <f>((C41^5)*(2.71828^(-C41)))/FACT(5)</f>
        <v>6.8016302536332146E-2</v>
      </c>
      <c r="M16" s="53">
        <f>((D41^5)*(2.71828^(-D41)))/FACT(5)</f>
        <v>2.2145769482617906E-4</v>
      </c>
      <c r="P16" s="36">
        <v>3</v>
      </c>
      <c r="Q16" s="37">
        <v>6</v>
      </c>
      <c r="R16" s="180">
        <v>6</v>
      </c>
    </row>
    <row r="17" spans="2:18">
      <c r="C17" s="42">
        <v>3</v>
      </c>
      <c r="D17" s="37">
        <v>0</v>
      </c>
      <c r="H17" s="42">
        <v>1</v>
      </c>
      <c r="I17" s="37">
        <v>1</v>
      </c>
      <c r="K17" s="115" t="s">
        <v>22</v>
      </c>
      <c r="L17" s="116">
        <f>((C41^6)*(2.71828^(-C41)))/FACT(6)</f>
        <v>2.8545986536636585E-2</v>
      </c>
      <c r="M17" s="117">
        <f>((D41^6)*(2.71828^(-D41)))/FACT(6)</f>
        <v>1.9900576263181988E-5</v>
      </c>
      <c r="P17" s="36">
        <v>8</v>
      </c>
      <c r="Q17" s="37">
        <v>5</v>
      </c>
      <c r="R17" s="180">
        <v>7</v>
      </c>
    </row>
    <row r="18" spans="2:18">
      <c r="C18" s="42"/>
      <c r="D18" s="37"/>
      <c r="H18" s="42">
        <v>2</v>
      </c>
      <c r="I18" s="37">
        <v>0</v>
      </c>
      <c r="K18" s="118" t="s">
        <v>84</v>
      </c>
      <c r="L18" s="52">
        <f>((C41^7)*(2.71828^(-C41)))/FACT(7)</f>
        <v>1.0269050846801122E-2</v>
      </c>
      <c r="M18" s="53">
        <f>((D41^7)*(2.71828^(-D41)))/FACT(7)</f>
        <v>1.5328291130956501E-6</v>
      </c>
      <c r="P18" s="36">
        <v>2</v>
      </c>
      <c r="Q18" s="37">
        <v>1</v>
      </c>
      <c r="R18" s="180">
        <v>6</v>
      </c>
    </row>
    <row r="19" spans="2:18">
      <c r="C19" s="42"/>
      <c r="D19" s="37"/>
      <c r="H19" s="42"/>
      <c r="I19" s="37"/>
      <c r="K19" s="118" t="s">
        <v>85</v>
      </c>
      <c r="L19" s="52">
        <f>((C41^8)*(2.71828^(-C41)))/FACT(8)</f>
        <v>3.2323888864022906E-3</v>
      </c>
      <c r="M19" s="53">
        <f>((D41^8)*(2.71828^(-D41)))/FACT(8)</f>
        <v>1.0330703123974141E-7</v>
      </c>
      <c r="P19" s="36"/>
      <c r="Q19" s="37"/>
      <c r="R19" s="180"/>
    </row>
    <row r="20" spans="2:18">
      <c r="C20" s="42"/>
      <c r="D20" s="37"/>
      <c r="H20" s="42"/>
      <c r="I20" s="37"/>
      <c r="K20" s="118" t="s">
        <v>86</v>
      </c>
      <c r="L20" s="52">
        <f>((C41^9)*(2.71828^(-C41)))/FACT(9)</f>
        <v>9.0440797467268835E-4</v>
      </c>
      <c r="M20" s="53">
        <f>((D41^9)*(2.71828^(-D41)))/FACT(9)</f>
        <v>6.1889004890167659E-9</v>
      </c>
      <c r="P20" s="36"/>
      <c r="Q20" s="37"/>
      <c r="R20" s="180"/>
    </row>
    <row r="21" spans="2:18" ht="15.75" thickBot="1">
      <c r="C21" s="42"/>
      <c r="D21" s="37"/>
      <c r="H21" s="42"/>
      <c r="I21" s="37"/>
      <c r="K21" s="119" t="s">
        <v>87</v>
      </c>
      <c r="L21" s="50">
        <f>((C41^10)*(2.71828^(-C41)))/FACT(10)</f>
        <v>2.2774438103137918E-4</v>
      </c>
      <c r="M21" s="51">
        <f>((D41^10)*(2.71828^(-D41)))/FACT(10)</f>
        <v>3.3368726138938323E-10</v>
      </c>
      <c r="P21" s="36"/>
      <c r="Q21" s="37"/>
      <c r="R21" s="180"/>
    </row>
    <row r="22" spans="2:18">
      <c r="C22" s="42"/>
      <c r="D22" s="37"/>
      <c r="H22" s="42"/>
      <c r="I22" s="37"/>
      <c r="P22" s="36"/>
      <c r="Q22" s="37"/>
      <c r="R22" s="180"/>
    </row>
    <row r="23" spans="2:18">
      <c r="C23" s="42"/>
      <c r="D23" s="37"/>
      <c r="H23" s="42"/>
      <c r="I23" s="37"/>
      <c r="P23" s="36"/>
      <c r="Q23" s="37"/>
      <c r="R23" s="180"/>
    </row>
    <row r="24" spans="2:18">
      <c r="C24" s="42"/>
      <c r="D24" s="37"/>
      <c r="H24" s="42"/>
      <c r="I24" s="37"/>
      <c r="P24" s="36"/>
      <c r="Q24" s="37"/>
      <c r="R24" s="180"/>
    </row>
    <row r="25" spans="2:18">
      <c r="C25" s="42"/>
      <c r="D25" s="37"/>
      <c r="H25" s="42"/>
      <c r="I25" s="37"/>
      <c r="P25" s="36"/>
      <c r="Q25" s="37"/>
      <c r="R25" s="180"/>
    </row>
    <row r="26" spans="2:18">
      <c r="C26" s="42"/>
      <c r="D26" s="37"/>
      <c r="H26" s="42"/>
      <c r="I26" s="37"/>
      <c r="P26" s="36"/>
      <c r="Q26" s="37"/>
      <c r="R26" s="180"/>
    </row>
    <row r="27" spans="2:18">
      <c r="C27" s="43"/>
      <c r="D27" s="39"/>
      <c r="H27" s="43"/>
      <c r="I27" s="39"/>
      <c r="P27" s="36"/>
      <c r="Q27" s="37"/>
      <c r="R27" s="180"/>
    </row>
    <row r="28" spans="2:18">
      <c r="C28" s="43"/>
      <c r="D28" s="39"/>
      <c r="H28" s="43"/>
      <c r="I28" s="39"/>
      <c r="P28" s="36"/>
      <c r="Q28" s="37"/>
      <c r="R28" s="180"/>
    </row>
    <row r="29" spans="2:18">
      <c r="C29" s="43"/>
      <c r="D29" s="39"/>
      <c r="H29" s="43"/>
      <c r="I29" s="39"/>
      <c r="P29" s="36"/>
      <c r="Q29" s="37"/>
      <c r="R29" s="180"/>
    </row>
    <row r="30" spans="2:18" ht="15.75" thickBot="1">
      <c r="C30" s="44"/>
      <c r="D30" s="45"/>
      <c r="H30" s="43"/>
      <c r="I30" s="39"/>
      <c r="P30" s="36"/>
      <c r="Q30" s="37"/>
      <c r="R30" s="180"/>
    </row>
    <row r="31" spans="2:18" ht="15.75" thickBot="1">
      <c r="B31" s="14" t="s">
        <v>13</v>
      </c>
      <c r="C31" s="8">
        <f>SUM(C12:C30)</f>
        <v>12</v>
      </c>
      <c r="D31" s="9">
        <f>SUM(D12:D30)</f>
        <v>3</v>
      </c>
      <c r="G31" s="27" t="s">
        <v>13</v>
      </c>
      <c r="H31" s="28">
        <f>SUM(H12:H30)</f>
        <v>10</v>
      </c>
      <c r="I31" s="29">
        <f>SUM(I12:I30)</f>
        <v>9</v>
      </c>
      <c r="P31" s="36"/>
      <c r="Q31" s="37"/>
      <c r="R31" s="180"/>
    </row>
    <row r="32" spans="2:18" ht="15.75" thickBot="1">
      <c r="B32" s="14" t="s">
        <v>15</v>
      </c>
      <c r="C32" s="10">
        <f>COUNT(C12:C30)</f>
        <v>6</v>
      </c>
      <c r="G32" s="14" t="s">
        <v>15</v>
      </c>
      <c r="H32" s="26">
        <f>COUNT(H12:H30)</f>
        <v>7</v>
      </c>
      <c r="P32" s="36"/>
      <c r="Q32" s="37"/>
      <c r="R32" s="180"/>
    </row>
    <row r="33" spans="1:21">
      <c r="P33" s="36"/>
      <c r="Q33" s="37"/>
      <c r="R33" s="180"/>
    </row>
    <row r="34" spans="1:21">
      <c r="B34" s="93" t="s">
        <v>5</v>
      </c>
      <c r="C34" s="93"/>
      <c r="D34" s="93"/>
      <c r="E34" s="93"/>
      <c r="G34" s="93" t="s">
        <v>6</v>
      </c>
      <c r="H34" s="93"/>
      <c r="I34" s="93"/>
      <c r="J34" s="93"/>
      <c r="P34" s="36"/>
      <c r="Q34" s="37"/>
      <c r="R34" s="180"/>
    </row>
    <row r="35" spans="1:21">
      <c r="B35" s="75" t="s">
        <v>2</v>
      </c>
      <c r="C35" s="76"/>
      <c r="D35" s="11" t="s">
        <v>4</v>
      </c>
      <c r="E35" s="3">
        <f>C31/C32</f>
        <v>2</v>
      </c>
      <c r="G35" s="75" t="s">
        <v>2</v>
      </c>
      <c r="H35" s="76"/>
      <c r="I35" s="11" t="s">
        <v>4</v>
      </c>
      <c r="J35" s="3">
        <f>I31/H32</f>
        <v>1.2857142857142858</v>
      </c>
      <c r="P35" s="36"/>
      <c r="Q35" s="37"/>
      <c r="R35" s="180"/>
    </row>
    <row r="36" spans="1:21" ht="15.75" thickBot="1">
      <c r="B36" s="77" t="s">
        <v>3</v>
      </c>
      <c r="C36" s="78"/>
      <c r="D36" s="12" t="s">
        <v>4</v>
      </c>
      <c r="E36" s="2">
        <f>D31/C32</f>
        <v>0.5</v>
      </c>
      <c r="G36" s="77" t="s">
        <v>3</v>
      </c>
      <c r="H36" s="78"/>
      <c r="I36" s="12" t="s">
        <v>4</v>
      </c>
      <c r="J36" s="2">
        <f>H31/H32</f>
        <v>1.4285714285714286</v>
      </c>
      <c r="P36" s="36"/>
      <c r="Q36" s="37"/>
      <c r="R36" s="180"/>
    </row>
    <row r="37" spans="1:21" ht="15.75" thickBot="1">
      <c r="P37" s="38"/>
      <c r="Q37" s="39"/>
      <c r="R37" s="181"/>
    </row>
    <row r="38" spans="1:21" ht="15.75" thickBot="1">
      <c r="B38" s="100"/>
      <c r="C38" s="101" t="s">
        <v>0</v>
      </c>
      <c r="D38" s="102" t="s">
        <v>1</v>
      </c>
      <c r="O38" s="183" t="s">
        <v>24</v>
      </c>
      <c r="P38" s="13">
        <f>SUM(P11:P37)</f>
        <v>59</v>
      </c>
      <c r="Q38" s="182">
        <f>SUM(Q11:Q37)</f>
        <v>62</v>
      </c>
    </row>
    <row r="39" spans="1:21" ht="15.75" thickBot="1">
      <c r="B39" s="103" t="s">
        <v>27</v>
      </c>
      <c r="C39" s="104">
        <f>E35/P41</f>
        <v>1.7627118644067796</v>
      </c>
      <c r="D39" s="105">
        <f>J35/Q41</f>
        <v>1.0783410138248848</v>
      </c>
      <c r="F39" t="s">
        <v>94</v>
      </c>
      <c r="O39" s="14" t="s">
        <v>25</v>
      </c>
      <c r="P39" s="177">
        <f>SUM(R11:R37)</f>
        <v>52</v>
      </c>
      <c r="Q39" s="178"/>
    </row>
    <row r="40" spans="1:21" ht="15.75" thickBot="1">
      <c r="B40" s="18" t="s">
        <v>79</v>
      </c>
      <c r="C40" s="20">
        <f>E36/Q41</f>
        <v>0.41935483870967744</v>
      </c>
      <c r="D40" s="21">
        <f>J36/P41</f>
        <v>1.2590799031476998</v>
      </c>
      <c r="O40" s="14" t="s">
        <v>26</v>
      </c>
      <c r="P40" s="94">
        <f>COUNT(P11:P37)</f>
        <v>8</v>
      </c>
      <c r="Q40" s="95"/>
    </row>
    <row r="41" spans="1:21" ht="15.75" thickBot="1">
      <c r="B41" s="18" t="s">
        <v>80</v>
      </c>
      <c r="C41" s="20">
        <f>C39*D40*P41</f>
        <v>2.5181598062953996</v>
      </c>
      <c r="D41" s="21">
        <f>C40*D39*Q41</f>
        <v>0.53917050691244239</v>
      </c>
      <c r="O41" s="14" t="s">
        <v>35</v>
      </c>
      <c r="P41" s="19">
        <f>P38/(P39)</f>
        <v>1.1346153846153846</v>
      </c>
      <c r="Q41" s="182">
        <f>Q38/(P39)</f>
        <v>1.1923076923076923</v>
      </c>
    </row>
    <row r="43" spans="1:21">
      <c r="A43" s="91" t="s">
        <v>30</v>
      </c>
      <c r="B43" s="91"/>
      <c r="C43" s="91"/>
      <c r="D43" s="91"/>
      <c r="E43" s="91"/>
      <c r="F43" s="91"/>
      <c r="G43" s="91"/>
      <c r="H43" s="91"/>
      <c r="I43" s="91"/>
      <c r="J43" s="91"/>
      <c r="K43" s="91"/>
      <c r="L43" s="91"/>
      <c r="M43" s="91"/>
      <c r="N43" s="91"/>
      <c r="O43" s="91"/>
      <c r="P43" s="91"/>
      <c r="Q43" s="91"/>
      <c r="R43" s="91"/>
      <c r="S43" s="91"/>
      <c r="T43" s="91"/>
      <c r="U43" s="91"/>
    </row>
    <row r="44" spans="1:21" ht="15.75" thickBot="1">
      <c r="A44" s="92"/>
      <c r="B44" s="92"/>
      <c r="C44" s="92"/>
      <c r="D44" s="92"/>
      <c r="E44" s="92"/>
      <c r="F44" s="92"/>
      <c r="G44" s="92"/>
      <c r="H44" s="92"/>
      <c r="I44" s="92"/>
      <c r="J44" s="92"/>
      <c r="K44" s="92"/>
      <c r="L44" s="92"/>
      <c r="M44" s="92"/>
      <c r="N44" s="92"/>
      <c r="O44" s="92"/>
      <c r="P44" s="92"/>
      <c r="Q44" s="92"/>
      <c r="R44" s="92"/>
      <c r="S44" s="92"/>
      <c r="T44" s="92"/>
      <c r="U44" s="92"/>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2018-06-01T17:56:03Z</dcterms:modified>
</cp:coreProperties>
</file>