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M11" s="1"/>
  <c r="C41"/>
  <c r="U19" i="1"/>
  <c r="U18"/>
  <c r="U9"/>
  <c r="U10"/>
  <c r="Z10"/>
  <c r="Z9"/>
  <c r="M19" i="2" l="1"/>
  <c r="T19" i="1"/>
  <c r="T18"/>
  <c r="U20" l="1"/>
  <c r="M16" i="2"/>
  <c r="X15" i="1" s="1"/>
  <c r="M20" i="2"/>
  <c r="M17"/>
  <c r="Y15" i="1" s="1"/>
  <c r="M13" i="2"/>
  <c r="U15" i="1" s="1"/>
  <c r="M14" i="2"/>
  <c r="V15" i="1" s="1"/>
  <c r="M18" i="2"/>
  <c r="S15" i="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<sst xmlns="http://schemas.openxmlformats.org/spreadsheetml/2006/main" count="160" uniqueCount="115">
  <si>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</si>
  <si>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</si>
  <si>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</si>
  <si>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</si>
  <si>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</si>
  <si>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</si>
  <si>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</si>
  <si>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</si>
  <si>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</si>
  <si>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</si>
  <si>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</si>
  <si>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</si>
  <si>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</si>
  <si>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</si>
  <si>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</si>
  <si>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</si>
  <si>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</si>
  <si>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</si>
  <si>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</si>
  <si>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</si>
  <si>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</si>
  <si>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</si>
  <si>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</si>
  <si>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</si>
  <si>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</si>
  <si>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</si>
  <si>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</si>
  <si>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</si>
  <si>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</si>
  <si>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</si>
  <si>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</si>
  <si>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</si>
  <si>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</si>
  <si>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</si>
  <si>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</si>
  <si>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</si>
  <si>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</si>
  <si>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</si>
  <si>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</si>
  <si>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</si>
  <si>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</si>
  <si>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</si>
  <si>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</si>
  <si>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</si>
  <si>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</si>
  <si>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</si>
  <si>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</si>
  <si>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</si>
  <si>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</si>
  <si>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</si>
  <si>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</si>
  <si>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</si>
  <si>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</si>
  <si>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</si>
  <si>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</si>
  <si>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</si>
  <si>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</si>
  <si>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</si>
  <si>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</si>
  <si>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</si>
  <si>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</si>
  <si>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</si>
  <si>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</si>
  <si>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</si>
  <si>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</si>
  <si>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</si>
  <si>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</si>
  <si>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</si>
  <si>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</si>
  <si>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</si>
  <si>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</si>
  <si>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</si>
  <si>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</si>
  <si>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</si>
  <si>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</si>
  <si>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</si>
  <si>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</si>
  <si>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</si>
  <si>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</si>
  <si>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</si>
  <si>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</si>
  <si>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</si>
  <si>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</si>
  <si>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</si>
  <si>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</si>
  <si>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</si>
  <si>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</si>
  <si>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</si>
  <si>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</si>
  <si>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</si>
  <si>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</si>
  <si>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</si>
  <si>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</si>
  <si>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</si>
  <si>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</si>
  <si>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</si>
  <si>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</si>
  <si>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</si>
  <si>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</si>
  <si>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</si>
  <si>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</si>
  <si>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</si>
  <si>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</si>
  <si>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</si>
  <si>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</si>
  <si>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</si>
  <si>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</si>
  <si>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</si>
  <si>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</si>
  <si>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</si>
  <si>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0-1</t>
  </si>
  <si>
    <t>0-0</t>
  </si>
  <si>
    <t>Noruega 1 División</t>
  </si>
  <si>
    <t>Asane</t>
  </si>
  <si>
    <t>Mjondalen</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</si>
</sst>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08">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8" sqref="AB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42</v>
      </c>
    </row>
    <row r="3" spans="1:33" ht="15.75" thickBot="1">
      <c r="F3" s="126" t="str">
        <f>Cálculos!I4</f>
        <v>Asane</v>
      </c>
      <c r="G3" s="124"/>
      <c r="H3" s="124"/>
      <c r="I3" s="128"/>
      <c r="J3" s="124" t="str">
        <f>Cálculos!M4</f>
        <v>Mjondalen</v>
      </c>
      <c r="K3" s="124"/>
      <c r="L3" s="125"/>
    </row>
    <row r="4" spans="1:33" ht="15.75" thickBot="1">
      <c r="G4" s="118" t="str">
        <f>Cálculos!J5</f>
        <v>Noruega 1 División</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0.10600326883695242</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3.5999999999999996</v>
      </c>
      <c r="V9"/>
      <c r="W9" s="143" t="s">
        <v>2</v>
      </c>
      <c r="X9" s="144"/>
      <c r="Y9" s="11" t="s">
        <v>4</v>
      </c>
      <c r="Z9" s="86">
        <f>Cálculos!J35</f>
        <v>1.7</v>
      </c>
      <c r="AA9"/>
      <c r="AB9" s="109" t="s">
        <v>90</v>
      </c>
      <c r="AC9" s="107">
        <f>SUM(D10:D12,E11,E10,F10)</f>
        <v>0.89399748985533978</v>
      </c>
    </row>
    <row r="10" spans="1:33" ht="15.75" customHeight="1" thickBot="1">
      <c r="B10" s="147" t="s">
        <v>80</v>
      </c>
      <c r="C10" s="94">
        <v>0</v>
      </c>
      <c r="D10" s="102">
        <f>Cálculos!L11*Cálculos!M11</f>
        <v>0.32255701694356015</v>
      </c>
      <c r="E10" s="96">
        <f>Cálculos!M12*Cálculos!L11</f>
        <v>0.28010153930801585</v>
      </c>
      <c r="F10" s="77">
        <f>Cálculos!M13*Cálculos!L11</f>
        <v>0.12161706024279116</v>
      </c>
      <c r="G10" s="77">
        <f>Cálculos!M14*Cálculos!L11</f>
        <v>3.5203208518926839E-2</v>
      </c>
      <c r="H10" s="77">
        <f>Cálculos!M15*Cálculos!L11</f>
        <v>7.6424262818454011E-3</v>
      </c>
      <c r="I10" s="77">
        <f>Cálculos!M16*Cálculos!L11</f>
        <v>1.3273035483010415E-3</v>
      </c>
      <c r="J10" s="77">
        <f>Cálculos!M17*Cálculos!L11</f>
        <v>1.9210028381492093E-4</v>
      </c>
      <c r="K10" s="77">
        <f>Cálculos!M18*Cálculos!L11</f>
        <v>2.3830818992175321E-5</v>
      </c>
      <c r="L10" s="77">
        <f>Cálculos!M19*Cálculos!L11</f>
        <v>2.5867709939817333E-6</v>
      </c>
      <c r="M10" s="77">
        <f>Cálculos!M20*Cálculos!L11</f>
        <v>2.4958844455445365E-7</v>
      </c>
      <c r="N10" s="84">
        <f>Cálculos!M21*Cálculos!L11</f>
        <v>2.167372087441782E-8</v>
      </c>
      <c r="R10" s="145" t="s">
        <v>3</v>
      </c>
      <c r="S10" s="146"/>
      <c r="T10" s="12" t="s">
        <v>4</v>
      </c>
      <c r="U10" s="87">
        <f>Cálculos!E36</f>
        <v>0.7</v>
      </c>
      <c r="V10"/>
      <c r="W10" s="145" t="s">
        <v>3</v>
      </c>
      <c r="X10" s="146"/>
      <c r="Y10" s="12" t="s">
        <v>4</v>
      </c>
      <c r="Z10" s="87">
        <f>Cálculos!J36</f>
        <v>0.12000000000000002</v>
      </c>
      <c r="AA10"/>
    </row>
    <row r="11" spans="1:33" ht="15.75" thickBot="1">
      <c r="B11" s="148"/>
      <c r="C11" s="66">
        <v>1</v>
      </c>
      <c r="D11" s="99">
        <f>Cálculos!L12*Cálculos!M11</f>
        <v>8.4864023585632012E-2</v>
      </c>
      <c r="E11" s="103">
        <f>Cálculos!L12*Cálculos!M12</f>
        <v>7.3694083183955567E-2</v>
      </c>
      <c r="F11" s="97">
        <f>Cálculos!L12*Cálculos!M13</f>
        <v>3.1997174225682323E-2</v>
      </c>
      <c r="G11" s="80">
        <f>Cálculos!L12*Cálculos!M14</f>
        <v>9.2618847555961514E-3</v>
      </c>
      <c r="H11" s="80">
        <f>Cálculos!L12*Cálculos!M15</f>
        <v>2.0107051161980024E-3</v>
      </c>
      <c r="I11" s="80">
        <f>Cálculos!L12*Cálculos!M16</f>
        <v>3.4921056964022591E-4</v>
      </c>
      <c r="J11" s="80">
        <f>Cálculos!L12*Cálculos!M17</f>
        <v>5.0541151362794839E-5</v>
      </c>
      <c r="K11" s="80">
        <f>Cálculos!L12*Cálculos!M18</f>
        <v>6.2698347231142778E-6</v>
      </c>
      <c r="L11" s="80">
        <f>Cálculos!L12*Cálculos!M19</f>
        <v>6.8057361369480312E-7</v>
      </c>
      <c r="M11" s="80">
        <f>Cálculos!L12*Cálculos!M20</f>
        <v>6.5666156780822867E-8</v>
      </c>
      <c r="N11" s="81">
        <f>Cálculos!L12*Cálculos!M21</f>
        <v>5.7023070739671304E-9</v>
      </c>
      <c r="S11"/>
      <c r="T11"/>
      <c r="U11"/>
      <c r="V11"/>
      <c r="W11"/>
      <c r="X11"/>
      <c r="Y11"/>
      <c r="Z11"/>
      <c r="AA11"/>
      <c r="AB11" s="155" t="s">
        <v>91</v>
      </c>
      <c r="AC11" s="156"/>
    </row>
    <row r="12" spans="1:33" ht="15.75" customHeight="1" thickBot="1">
      <c r="B12" s="148"/>
      <c r="C12" s="66">
        <v>2</v>
      </c>
      <c r="D12" s="76">
        <f>Cálculos!L13*Cálculos!M11</f>
        <v>1.1163766591385097E-2</v>
      </c>
      <c r="E12" s="100">
        <f>Cálculos!L13*Cálculos!M12</f>
        <v>9.6943735292217056E-3</v>
      </c>
      <c r="F12" s="103">
        <f>Cálculos!L13*Cálculos!M13</f>
        <v>4.20919218234991E-3</v>
      </c>
      <c r="G12" s="97">
        <f>Cálculos!L13*Cálculos!M14</f>
        <v>1.2183904938639872E-3</v>
      </c>
      <c r="H12" s="80">
        <f>Cálculos!L13*Cálculos!M15</f>
        <v>2.6450599032331018E-4</v>
      </c>
      <c r="I12" s="80">
        <f>Cálculos!L13*Cálculos!M16</f>
        <v>4.5938256589664615E-5</v>
      </c>
      <c r="J12" s="80">
        <f>Cálculos!L13*Cálculos!M17</f>
        <v>6.6486314604771323E-6</v>
      </c>
      <c r="K12" s="80">
        <f>Cálculos!L13*Cálculos!M18</f>
        <v>8.2478968658351442E-7</v>
      </c>
      <c r="L12" s="80">
        <f>Cálculos!L13*Cálculos!M19</f>
        <v>8.9528691317325394E-8</v>
      </c>
      <c r="M12" s="80">
        <f>Cálculos!L13*Cálculos!M20</f>
        <v>8.6383088649419335E-9</v>
      </c>
      <c r="N12" s="81">
        <f>Cálculos!L13*Cálculos!M21</f>
        <v>7.5013206440698447E-10</v>
      </c>
      <c r="R12" s="141" t="s">
        <v>28</v>
      </c>
      <c r="S12" s="139" t="s">
        <v>7</v>
      </c>
      <c r="T12" s="139"/>
      <c r="U12" s="139"/>
      <c r="V12" s="139"/>
      <c r="W12" s="139"/>
      <c r="X12" s="139"/>
      <c r="Y12" s="140"/>
      <c r="Z12"/>
      <c r="AA12"/>
      <c r="AB12" s="115" t="s">
        <v>96</v>
      </c>
      <c r="AC12" s="116" t="s">
        <v>97</v>
      </c>
    </row>
    <row r="13" spans="1:33" ht="15.75" customHeight="1" thickBot="1">
      <c r="B13" s="148"/>
      <c r="C13" s="66">
        <v>3</v>
      </c>
      <c r="D13" s="76">
        <f>Cálculos!L14*Cálculos!M11</f>
        <v>9.7905393625500594E-4</v>
      </c>
      <c r="E13" s="78">
        <f>Cálculos!L14*Cálculos!M12</f>
        <v>8.5018926951008992E-4</v>
      </c>
      <c r="F13" s="100">
        <f>Cálculos!L14*Cálculos!M13</f>
        <v>3.6914298958593494E-4</v>
      </c>
      <c r="G13" s="103">
        <f>Cálculos!L14*Cálculos!M14</f>
        <v>1.0685193022879357E-4</v>
      </c>
      <c r="H13" s="97">
        <f>Cálculos!L14*Cálculos!M15</f>
        <v>2.3196976474669846E-5</v>
      </c>
      <c r="I13" s="80">
        <f>Cálculos!L14*Cálculos!M16</f>
        <v>4.0287505628710382E-6</v>
      </c>
      <c r="J13" s="80">
        <f>Cálculos!L14*Cálculos!M17</f>
        <v>5.830799801128216E-7</v>
      </c>
      <c r="K13" s="80">
        <f>Cálculos!L14*Cálculos!M18</f>
        <v>7.233343537075272E-8</v>
      </c>
      <c r="L13" s="80">
        <f>Cálculos!L14*Cálculos!M19</f>
        <v>7.8515989137239348E-9</v>
      </c>
      <c r="M13" s="80">
        <f>Cálculos!L14*Cálculos!M20</f>
        <v>7.5757319248633612E-10</v>
      </c>
      <c r="N13" s="81">
        <f>Cálculos!L14*Cálculos!M21</f>
        <v>6.5786018039421556E-11</v>
      </c>
      <c r="O13" s="32"/>
      <c r="R13" s="142"/>
      <c r="S13" s="104">
        <v>0</v>
      </c>
      <c r="T13" s="104">
        <v>1</v>
      </c>
      <c r="U13" s="104">
        <v>2</v>
      </c>
      <c r="V13" s="104">
        <v>3</v>
      </c>
      <c r="W13" s="104">
        <v>4</v>
      </c>
      <c r="X13" s="104">
        <v>5</v>
      </c>
      <c r="Y13" s="105">
        <v>6</v>
      </c>
      <c r="Z13"/>
      <c r="AA13" s="33"/>
      <c r="AB13" s="117">
        <f>SUM(E11:N20)</f>
        <v>0.1342586309932392</v>
      </c>
      <c r="AC13" s="107">
        <f>SUM(D10:D20,E10:N10)</f>
        <v>0.86574212769905312</v>
      </c>
    </row>
    <row r="14" spans="1:33" ht="15.75" customHeight="1" thickBot="1">
      <c r="B14" s="148"/>
      <c r="C14" s="66">
        <v>4</v>
      </c>
      <c r="D14" s="76">
        <f>Cálculos!L15*Cálculos!M11</f>
        <v>6.4396720559088685E-5</v>
      </c>
      <c r="E14" s="78">
        <f>Cálculos!L15*Cálculos!M12</f>
        <v>5.5920719771986994E-5</v>
      </c>
      <c r="F14" s="78">
        <f>Cálculos!L15*Cálculos!M13</f>
        <v>2.4280171976674886E-5</v>
      </c>
      <c r="G14" s="100">
        <f>Cálculos!L15*Cálculos!M14</f>
        <v>7.0281254559510268E-6</v>
      </c>
      <c r="H14" s="103">
        <f>Cálculos!L15*Cálculos!M15</f>
        <v>1.5257680466196385E-6</v>
      </c>
      <c r="I14" s="97">
        <f>Cálculos!L15*Cálculos!M16</f>
        <v>2.6498879642102145E-7</v>
      </c>
      <c r="J14" s="80">
        <f>Cálculos!L15*Cálculos!M17</f>
        <v>3.8351756887420795E-8</v>
      </c>
      <c r="K14" s="80">
        <f>Cálculos!L15*Cálculos!M18</f>
        <v>4.7576909219800378E-9</v>
      </c>
      <c r="L14" s="80">
        <f>Cálculos!L15*Cálculos!M19</f>
        <v>5.1643449095681965E-10</v>
      </c>
      <c r="M14" s="80">
        <f>Cálculos!L15*Cálculos!M20</f>
        <v>4.9828949532860689E-11</v>
      </c>
      <c r="N14" s="81">
        <f>Cálculos!L15*Cálculos!M21</f>
        <v>4.3270382391643604E-12</v>
      </c>
      <c r="O14" s="33"/>
      <c r="R14" s="24" t="s">
        <v>8</v>
      </c>
      <c r="S14" s="46">
        <f>Cálculos!L11</f>
        <v>0.76866689683144584</v>
      </c>
      <c r="T14" s="47">
        <f>Cálculos!L12</f>
        <v>0.20223452672124778</v>
      </c>
      <c r="U14" s="47">
        <f>Cálculos!L13</f>
        <v>2.6603723906127457E-2</v>
      </c>
      <c r="V14" s="47">
        <f>Cálculos!L14</f>
        <v>2.3331265837674485E-3</v>
      </c>
      <c r="W14" s="47">
        <f>Cálculos!L15</f>
        <v>1.534600853744184E-4</v>
      </c>
      <c r="X14" s="47">
        <f>Cálculos!L16</f>
        <v>8.0750004622881936E-6</v>
      </c>
      <c r="Y14" s="48">
        <f>Cálculos!L17</f>
        <v>3.5408573455687779E-7</v>
      </c>
      <c r="Z14"/>
      <c r="AA14"/>
    </row>
    <row r="15" spans="1:33" ht="15.75" thickBot="1">
      <c r="B15" s="148"/>
      <c r="C15" s="66">
        <v>5</v>
      </c>
      <c r="D15" s="76">
        <f>Cálculos!L16*Cálculos!M11</f>
        <v>3.3885263846671145E-6</v>
      </c>
      <c r="E15" s="78">
        <f>Cálculos!L16*Cálculos!M12</f>
        <v>2.942523047009577E-6</v>
      </c>
      <c r="F15" s="78">
        <f>Cálculos!L16*Cálculos!M13</f>
        <v>1.2776116959515905E-6</v>
      </c>
      <c r="G15" s="78">
        <f>Cálculos!L16*Cálculos!M14</f>
        <v>3.6981679090923059E-7</v>
      </c>
      <c r="H15" s="100">
        <f>Cálculos!L16*Cálculos!M15</f>
        <v>8.0285226296713358E-8</v>
      </c>
      <c r="I15" s="103">
        <f>Cálculos!L16*Cálculos!M16</f>
        <v>1.3943590923856214E-8</v>
      </c>
      <c r="J15" s="97">
        <f>Cálculos!L16*Cálculos!M17</f>
        <v>2.0180521458716217E-9</v>
      </c>
      <c r="K15" s="80">
        <f>Cálculos!L16*Cálculos!M18</f>
        <v>2.5034754998785788E-10</v>
      </c>
      <c r="L15" s="80">
        <f>Cálculos!L16*Cálculos!M19</f>
        <v>2.7174549936182002E-11</v>
      </c>
      <c r="M15" s="80">
        <f>Cálculos!L16*Cálculos!M20</f>
        <v>2.621976845193776E-12</v>
      </c>
      <c r="N15" s="81">
        <f>Cálculos!L16*Cálculos!M21</f>
        <v>2.2768680009750274E-13</v>
      </c>
      <c r="O15" s="33"/>
      <c r="R15" s="25" t="s">
        <v>9</v>
      </c>
      <c r="S15" s="49">
        <f>Cálculos!M11</f>
        <v>0.41963172639954449</v>
      </c>
      <c r="T15" s="50">
        <f>Cálculos!M12</f>
        <v>0.36439911808695569</v>
      </c>
      <c r="U15" s="50">
        <f>Cálculos!M13</f>
        <v>0.15821815762343086</v>
      </c>
      <c r="V15" s="50">
        <f>Cálculos!M14</f>
        <v>4.5797742382349842E-2</v>
      </c>
      <c r="W15" s="50">
        <f>Cálculos!M15</f>
        <v>9.9424423158439214E-3</v>
      </c>
      <c r="X15" s="50">
        <f>Cálculos!M16</f>
        <v>1.7267603870706222E-3</v>
      </c>
      <c r="Y15" s="51">
        <f>Cálculos!M17</f>
        <v>2.4991356412873455E-4</v>
      </c>
      <c r="Z15"/>
      <c r="AA15" s="33"/>
      <c r="AB15" s="161" t="s">
        <v>86</v>
      </c>
      <c r="AC15" s="162"/>
    </row>
    <row r="16" spans="1:33" ht="15.75" thickBot="1">
      <c r="B16" s="148"/>
      <c r="C16" s="66">
        <v>6</v>
      </c>
      <c r="D16" s="76">
        <f>Cálculos!L17*Cálculos!M11</f>
        <v>1.4858560808555346E-7</v>
      </c>
      <c r="E16" s="78">
        <f>Cálculos!L17*Cálculos!M12</f>
        <v>1.2902852939969817E-7</v>
      </c>
      <c r="F16" s="78">
        <f>Cálculos!L17*Cálculos!M13</f>
        <v>5.602279256232839E-8</v>
      </c>
      <c r="G16" s="78">
        <f>Cálculos!L17*Cálculos!M14</f>
        <v>1.6216327252500997E-8</v>
      </c>
      <c r="H16" s="78">
        <f>Cálculos!L17*Cálculos!M15</f>
        <v>3.52047699069498E-9</v>
      </c>
      <c r="I16" s="100">
        <f>Cálculos!L17*Cálculos!M16</f>
        <v>6.1142122005961987E-10</v>
      </c>
      <c r="J16" s="103">
        <f>Cálculos!L17*Cálculos!M17</f>
        <v>8.8490827930250356E-11</v>
      </c>
      <c r="K16" s="97">
        <f>Cálculos!L17*Cálculos!M18</f>
        <v>1.0977645951347272E-11</v>
      </c>
      <c r="L16" s="80">
        <f>Cálculos!L17*Cálculos!M19</f>
        <v>1.1915937987053643E-12</v>
      </c>
      <c r="M16" s="80">
        <f>Cálculos!L17*Cálculos!M20</f>
        <v>1.1497269895616618E-13</v>
      </c>
      <c r="N16" s="81">
        <f>Cálculos!L17*Cálculos!M21</f>
        <v>9.9839805877341044E-15</v>
      </c>
      <c r="O16" s="33"/>
      <c r="S16"/>
      <c r="T16"/>
      <c r="U16"/>
      <c r="V16"/>
      <c r="W16"/>
      <c r="X16"/>
      <c r="Y16"/>
      <c r="Z16"/>
      <c r="AA16"/>
      <c r="AB16" s="159" t="s">
        <v>111</v>
      </c>
      <c r="AC16" s="160"/>
    </row>
    <row r="17" spans="1:33" ht="15.75" customHeight="1" thickBot="1">
      <c r="B17" s="148"/>
      <c r="C17" s="66">
        <v>7</v>
      </c>
      <c r="D17" s="76">
        <f>Cálculos!L18*Cálculos!M11</f>
        <v>5.5846483331145947E-9</v>
      </c>
      <c r="E17" s="78">
        <f>Cálculos!L18*Cálculos!M12</f>
        <v>4.8495878633235641E-9</v>
      </c>
      <c r="F17" s="78">
        <f>Cálculos!L18*Cálculos!M13</f>
        <v>2.1056386222781905E-9</v>
      </c>
      <c r="G17" s="78">
        <f>Cálculos!L18*Cálculos!M14</f>
        <v>6.0949701742160573E-10</v>
      </c>
      <c r="H17" s="78">
        <f>Cálculos!L18*Cálculos!M15</f>
        <v>1.3231850790375806E-10</v>
      </c>
      <c r="I17" s="78">
        <f>Cálculos!L18*Cálculos!M16</f>
        <v>2.2980506264582407E-11</v>
      </c>
      <c r="J17" s="100">
        <f>Cálculos!L18*Cálculos!M17</f>
        <v>3.3259624607253711E-12</v>
      </c>
      <c r="K17" s="103">
        <f>Cálculos!L18*Cálculos!M18</f>
        <v>4.125991268845798E-13</v>
      </c>
      <c r="L17" s="97">
        <f>Cálculos!L18*Cálculos!M19</f>
        <v>4.478652009054577E-14</v>
      </c>
      <c r="M17" s="80">
        <f>Cálculos!L18*Cálculos!M20</f>
        <v>4.3212939654931979E-15</v>
      </c>
      <c r="N17" s="81">
        <f>Cálculos!L18*Cálculos!M21</f>
        <v>3.7525182462512546E-16</v>
      </c>
      <c r="R17" s="131"/>
      <c r="S17" s="132"/>
      <c r="T17" s="88" t="s">
        <v>88</v>
      </c>
      <c r="U17" s="89" t="s">
        <v>87</v>
      </c>
      <c r="V17"/>
      <c r="Y17"/>
      <c r="AB17" s="157" t="s">
        <v>110</v>
      </c>
      <c r="AC17" s="158"/>
    </row>
    <row r="18" spans="1:33" ht="15.75" thickBot="1">
      <c r="B18" s="148"/>
      <c r="C18" s="66">
        <v>8</v>
      </c>
      <c r="D18" s="76">
        <f>Cálculos!L19*Cálculos!M11</f>
        <v>1.836635474364154E-10</v>
      </c>
      <c r="E18" s="78">
        <f>Cálculos!L19*Cálculos!M12</f>
        <v>1.5948945349005472E-10</v>
      </c>
      <c r="F18" s="78">
        <f>Cálculos!L19*Cálculos!M13</f>
        <v>6.9248596495073746E-11</v>
      </c>
      <c r="G18" s="78">
        <f>Cálculos!L19*Cálculos!M14</f>
        <v>2.004466130979026E-11</v>
      </c>
      <c r="H18" s="78">
        <f>Cálculos!L19*Cálculos!M15</f>
        <v>4.3515876208348721E-12</v>
      </c>
      <c r="I18" s="78">
        <f>Cálculos!L19*Cálculos!M16</f>
        <v>7.5576492031040213E-13</v>
      </c>
      <c r="J18" s="78">
        <f>Cálculos!L19*Cálculos!M17</f>
        <v>1.0938165265573519E-13</v>
      </c>
      <c r="K18" s="100">
        <f>Cálculos!L19*Cálculos!M18</f>
        <v>1.3569237451076335E-14</v>
      </c>
      <c r="L18" s="103">
        <f>Cálculos!L19*Cálculos!M19</f>
        <v>1.4729040516996036E-15</v>
      </c>
      <c r="M18" s="97">
        <f>Cálculos!L19*Cálculos!M20</f>
        <v>1.4211533688020494E-16</v>
      </c>
      <c r="N18" s="81">
        <f>Cálculos!L19*Cálculos!M21</f>
        <v>1.2340988578272928E-17</v>
      </c>
      <c r="R18" s="129" t="s">
        <v>27</v>
      </c>
      <c r="S18" s="130"/>
      <c r="T18" s="90">
        <f>Cálculos!C39</f>
        <v>2.1924812030075187</v>
      </c>
      <c r="U18" s="91">
        <f>Cálculos!D39</f>
        <v>1.2405405405405405</v>
      </c>
      <c r="V18"/>
      <c r="Y18"/>
    </row>
    <row r="19" spans="1:33" ht="15.75" thickBot="1">
      <c r="B19" s="148"/>
      <c r="C19" s="66">
        <v>9</v>
      </c>
      <c r="D19" s="76">
        <f>Cálculos!L20*Cálculos!M11</f>
        <v>5.3690516724269394E-12</v>
      </c>
      <c r="E19" s="78">
        <f>Cálculos!L20*Cálculos!M12</f>
        <v>4.6623683847318247E-12</v>
      </c>
      <c r="F19" s="78">
        <f>Cálculos!L20*Cálculos!M13</f>
        <v>2.0243499486680202E-12</v>
      </c>
      <c r="G19" s="78">
        <f>Cálculos!L20*Cálculos!M14</f>
        <v>5.8596724189822948E-13</v>
      </c>
      <c r="H19" s="78">
        <f>Cálculos!L20*Cálculos!M15</f>
        <v>1.2721032082560889E-13</v>
      </c>
      <c r="I19" s="78">
        <f>Cálculos!L20*Cálculos!M16</f>
        <v>2.2093338422307092E-14</v>
      </c>
      <c r="J19" s="78">
        <f>Cálculos!L20*Cálculos!M17</f>
        <v>3.1975628986879576E-15</v>
      </c>
      <c r="K19" s="78">
        <f>Cálculos!L20*Cálculos!M18</f>
        <v>3.9667064067507361E-16</v>
      </c>
      <c r="L19" s="100">
        <f>Cálculos!L20*Cálculos!M19</f>
        <v>4.3057525962466602E-17</v>
      </c>
      <c r="M19" s="103">
        <f>Cálculos!L20*Cálculos!M20</f>
        <v>4.1544693969190733E-18</v>
      </c>
      <c r="N19" s="98">
        <f>Cálculos!L20*Cálculos!M21</f>
        <v>3.6076513979191833E-19</v>
      </c>
      <c r="R19" s="129" t="s">
        <v>77</v>
      </c>
      <c r="S19" s="130"/>
      <c r="T19" s="90">
        <f>Cálculos!C40</f>
        <v>0.5108108108108107</v>
      </c>
      <c r="U19" s="91">
        <f>Cálculos!D40</f>
        <v>7.3082706766917305E-2</v>
      </c>
      <c r="V19"/>
      <c r="Y19"/>
      <c r="Z19"/>
      <c r="AA19" s="169" t="s">
        <v>98</v>
      </c>
      <c r="AB19" s="167"/>
      <c r="AC19" s="167" t="s">
        <v>99</v>
      </c>
      <c r="AD19" s="168"/>
    </row>
    <row r="20" spans="1:33" ht="15.75" thickBot="1">
      <c r="B20" s="149"/>
      <c r="C20" s="67">
        <v>10</v>
      </c>
      <c r="D20" s="85">
        <f>Cálculos!L21*Cálculos!M11</f>
        <v>1.412585384372658E-13</v>
      </c>
      <c r="E20" s="79">
        <f>Cálculos!L21*Cálculos!M12</f>
        <v>1.2266586054025268E-13</v>
      </c>
      <c r="F20" s="79">
        <f>Cálculos!L21*Cálculos!M13</f>
        <v>5.3260190529166452E-14</v>
      </c>
      <c r="G20" s="79">
        <f>Cálculos!L21*Cálculos!M14</f>
        <v>1.541666596128034E-14</v>
      </c>
      <c r="H20" s="79">
        <f>Cálculos!L21*Cálculos!M15</f>
        <v>3.3468748468644414E-15</v>
      </c>
      <c r="I20" s="79">
        <f>Cálculos!L21*Cálculos!M16</f>
        <v>5.8127075043110523E-16</v>
      </c>
      <c r="J20" s="79">
        <f>Cálculos!L21*Cálculos!M17</f>
        <v>8.412715860969101E-17</v>
      </c>
      <c r="K20" s="79">
        <f>Cálculos!L21*Cálculos!M18</f>
        <v>1.0436315081580586E-17</v>
      </c>
      <c r="L20" s="79">
        <f>Cálculos!L21*Cálculos!M19</f>
        <v>1.1328337958485952E-18</v>
      </c>
      <c r="M20" s="101">
        <f>Cálculos!L21*Cálculos!M20</f>
        <v>1.0930315273458064E-19</v>
      </c>
      <c r="N20" s="103">
        <f>Cálculos!L21*Cálculos!M21</f>
        <v>9.4916494523299321E-21</v>
      </c>
      <c r="R20" s="153" t="s">
        <v>78</v>
      </c>
      <c r="S20" s="154"/>
      <c r="T20" s="92">
        <f>Cálculos!C41</f>
        <v>0.26309774436090227</v>
      </c>
      <c r="U20" s="93">
        <f>Cálculos!D41</f>
        <v>0.86837837837837817</v>
      </c>
      <c r="V20"/>
      <c r="Y20"/>
      <c r="Z20"/>
      <c r="AA20" s="163">
        <f>SUM(D10:D20,E11:E20,F12:F20,G13:G20,H14:H20,I15:I20,J16:J20,K17:K20,L18:L20,M19:M20,N20)</f>
        <v>0.50864928618709537</v>
      </c>
      <c r="AB20" s="164"/>
      <c r="AC20" s="165">
        <f>SUM(D10:N10,E11:N11,F12:N12,G13:N13,H14:N14,I15:N15,J16:N16,K17:N17,L18:N18,M19:N19,N20)</f>
        <v>0.89192015654583379</v>
      </c>
      <c r="AD20" s="166"/>
    </row>
    <row r="21" spans="1:33" ht="15.75" thickBot="1">
      <c r="AB21" s="170">
        <f>SUM(D10,E11,F12,G13,H14,I15,J16,K17,L18,M19,N20)</f>
        <v>0.40056868404063695</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L27" sqref="L2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113</v>
      </c>
      <c r="J4" s="182"/>
      <c r="K4" s="182"/>
      <c r="L4" s="179"/>
      <c r="M4" s="182" t="s">
        <v>114</v>
      </c>
      <c r="N4" s="182"/>
      <c r="O4" s="183"/>
    </row>
    <row r="5" spans="1:26" ht="15.75" thickBot="1">
      <c r="J5" s="172" t="s">
        <v>112</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94</v>
      </c>
      <c r="Q10" s="14" t="s">
        <v>95</v>
      </c>
      <c r="R10" s="14" t="s">
        <v>92</v>
      </c>
      <c r="T10" s="195" t="s">
        <v>93</v>
      </c>
      <c r="U10" s="195"/>
      <c r="V10" s="195"/>
      <c r="W10" s="195"/>
      <c r="X10" s="195"/>
      <c r="Y10" s="195"/>
      <c r="Z10" s="195"/>
    </row>
    <row r="11" spans="1:26" ht="15.75" thickBot="1">
      <c r="C11" s="22" t="s">
        <v>11</v>
      </c>
      <c r="D11" s="23" t="s">
        <v>12</v>
      </c>
      <c r="E11" s="7"/>
      <c r="H11" s="30" t="s">
        <v>12</v>
      </c>
      <c r="I11" s="31" t="s">
        <v>11</v>
      </c>
      <c r="K11" s="24" t="s">
        <v>16</v>
      </c>
      <c r="L11" s="52">
        <f>((C41^0)*(2.71828^(-C41)))/FACT(0)</f>
        <v>0.76866689683144584</v>
      </c>
      <c r="M11" s="53">
        <f>((D41^0)*(2.71828^(-D41)))/FACT(0)</f>
        <v>0.41963172639954449</v>
      </c>
      <c r="P11" s="34">
        <v>9</v>
      </c>
      <c r="Q11" s="35">
        <v>10</v>
      </c>
      <c r="R11" s="110">
        <v>4</v>
      </c>
      <c r="T11" s="195"/>
      <c r="U11" s="195"/>
      <c r="V11" s="195"/>
      <c r="W11" s="195"/>
      <c r="X11" s="195"/>
      <c r="Y11" s="195"/>
      <c r="Z11" s="195"/>
    </row>
    <row r="12" spans="1:26">
      <c r="B12">
        <v>1</v>
      </c>
      <c r="C12" s="40">
        <v>3</v>
      </c>
      <c r="D12" s="41">
        <v>1</v>
      </c>
      <c r="G12">
        <v>1</v>
      </c>
      <c r="H12" s="40">
        <v>0</v>
      </c>
      <c r="I12" s="41">
        <v>1</v>
      </c>
      <c r="K12" s="24" t="s">
        <v>17</v>
      </c>
      <c r="L12" s="52">
        <f>((C41^1)*(2.71828^(-C41)))/FACT(1)</f>
        <v>0.20223452672124778</v>
      </c>
      <c r="M12" s="53">
        <f>((D41^1)*(2.71828^(-D41)))/FACT(1)</f>
        <v>0.36439911808695569</v>
      </c>
      <c r="P12" s="36">
        <v>13</v>
      </c>
      <c r="Q12" s="37">
        <v>11</v>
      </c>
      <c r="R12" s="111">
        <v>5</v>
      </c>
      <c r="T12" s="195"/>
      <c r="U12" s="195"/>
      <c r="V12" s="195"/>
      <c r="W12" s="195"/>
      <c r="X12" s="195"/>
      <c r="Y12" s="195"/>
      <c r="Z12" s="195"/>
    </row>
    <row r="13" spans="1:26">
      <c r="B13">
        <v>2</v>
      </c>
      <c r="C13" s="42">
        <v>2</v>
      </c>
      <c r="D13" s="37">
        <v>3</v>
      </c>
      <c r="G13">
        <v>2</v>
      </c>
      <c r="H13" s="42">
        <v>0</v>
      </c>
      <c r="I13" s="37">
        <v>1</v>
      </c>
      <c r="K13" s="24" t="s">
        <v>18</v>
      </c>
      <c r="L13" s="52">
        <f>((C41^2)*(2.71828^(-C41)))/FACT(2)</f>
        <v>2.6603723906127457E-2</v>
      </c>
      <c r="M13" s="53">
        <f>((D41^2)*(2.71828^(-D41)))/FACT(2)</f>
        <v>0.15821815762343086</v>
      </c>
      <c r="P13" s="36">
        <v>12</v>
      </c>
      <c r="Q13" s="37">
        <v>5</v>
      </c>
      <c r="R13" s="111">
        <v>5</v>
      </c>
      <c r="T13" s="195"/>
      <c r="U13" s="195"/>
      <c r="V13" s="195"/>
      <c r="W13" s="195"/>
      <c r="X13" s="195"/>
      <c r="Y13" s="195"/>
      <c r="Z13" s="195"/>
    </row>
    <row r="14" spans="1:26">
      <c r="B14">
        <v>3</v>
      </c>
      <c r="C14" s="42">
        <v>3</v>
      </c>
      <c r="D14" s="37">
        <v>1</v>
      </c>
      <c r="G14">
        <v>3</v>
      </c>
      <c r="H14" s="42">
        <v>2</v>
      </c>
      <c r="I14" s="37">
        <v>1</v>
      </c>
      <c r="K14" s="24" t="s">
        <v>19</v>
      </c>
      <c r="L14" s="52">
        <f>((C41^3)*(2.71828^(-C41)))/FACT(3)</f>
        <v>2.3331265837674485E-3</v>
      </c>
      <c r="M14" s="53">
        <f>((D41^3)*(2.71828^(-D41)))/FACT(3)</f>
        <v>4.5797742382349842E-2</v>
      </c>
      <c r="P14" s="36">
        <v>14</v>
      </c>
      <c r="Q14" s="37">
        <v>10</v>
      </c>
      <c r="R14" s="111">
        <v>5</v>
      </c>
    </row>
    <row r="15" spans="1:26">
      <c r="B15">
        <v>4</v>
      </c>
      <c r="C15" s="42">
        <v>1</v>
      </c>
      <c r="D15" s="37">
        <v>1</v>
      </c>
      <c r="G15">
        <v>4</v>
      </c>
      <c r="H15" s="42">
        <v>0</v>
      </c>
      <c r="I15" s="37">
        <v>0</v>
      </c>
      <c r="K15" s="24" t="s">
        <v>21</v>
      </c>
      <c r="L15" s="52">
        <f>((C41^4)*(2.71828^(-C41)))/FACT(4)</f>
        <v>1.534600853744184E-4</v>
      </c>
      <c r="M15" s="53">
        <f>((D41^4)*(2.71828^(-D41)))/FACT(4)</f>
        <v>9.9424423158439214E-3</v>
      </c>
      <c r="P15" s="36">
        <v>12</v>
      </c>
      <c r="Q15" s="37">
        <v>8</v>
      </c>
      <c r="R15" s="111">
        <v>5</v>
      </c>
    </row>
    <row r="16" spans="1:26">
      <c r="B16">
        <v>5</v>
      </c>
      <c r="C16" s="42">
        <v>3</v>
      </c>
      <c r="D16" s="37">
        <v>1</v>
      </c>
      <c r="G16">
        <v>5</v>
      </c>
      <c r="H16" s="42">
        <v>0</v>
      </c>
      <c r="I16" s="37">
        <v>2</v>
      </c>
      <c r="K16" s="24" t="s">
        <v>20</v>
      </c>
      <c r="L16" s="52">
        <f>((C41^5)*(2.71828^(-C41)))/FACT(5)</f>
        <v>8.0750004622881936E-6</v>
      </c>
      <c r="M16" s="53">
        <f>((D41^5)*(2.71828^(-D41)))/FACT(5)</f>
        <v>1.7267603870706222E-3</v>
      </c>
      <c r="P16" s="36">
        <v>6</v>
      </c>
      <c r="Q16" s="37">
        <v>3</v>
      </c>
      <c r="R16" s="111">
        <v>5</v>
      </c>
    </row>
    <row r="17" spans="2:18">
      <c r="B17">
        <v>6</v>
      </c>
      <c r="C17" s="42"/>
      <c r="D17" s="37"/>
      <c r="G17">
        <v>6</v>
      </c>
      <c r="H17" s="42"/>
      <c r="I17" s="37"/>
      <c r="K17" s="69" t="s">
        <v>22</v>
      </c>
      <c r="L17" s="70">
        <f>((C41^6)*(2.71828^(-C41)))/FACT(6)</f>
        <v>3.5408573455687779E-7</v>
      </c>
      <c r="M17" s="71">
        <f>((D41^6)*(2.71828^(-D41)))/FACT(6)</f>
        <v>2.4991356412873455E-4</v>
      </c>
      <c r="P17" s="36">
        <v>7</v>
      </c>
      <c r="Q17" s="37">
        <v>6</v>
      </c>
      <c r="R17" s="111">
        <v>4</v>
      </c>
    </row>
    <row r="18" spans="2:18">
      <c r="B18">
        <v>7</v>
      </c>
      <c r="C18" s="42"/>
      <c r="D18" s="37"/>
      <c r="G18">
        <v>7</v>
      </c>
      <c r="H18" s="42"/>
      <c r="I18" s="37"/>
      <c r="K18" s="72" t="s">
        <v>82</v>
      </c>
      <c r="L18" s="52">
        <f>((C41^7)*(2.71828^(-C41)))/FACT(7)</f>
        <v>1.3308451153183962E-8</v>
      </c>
      <c r="M18" s="53">
        <f>((D41^7)*(2.71828^(-D41)))/FACT(7)</f>
        <v>3.1002790793267334E-5</v>
      </c>
      <c r="P18" s="36">
        <v>13</v>
      </c>
      <c r="Q18" s="37">
        <v>8</v>
      </c>
      <c r="R18" s="111">
        <v>6</v>
      </c>
    </row>
    <row r="19" spans="2:18">
      <c r="B19">
        <v>8</v>
      </c>
      <c r="C19" s="42"/>
      <c r="D19" s="37"/>
      <c r="G19">
        <v>8</v>
      </c>
      <c r="H19" s="42"/>
      <c r="I19" s="37"/>
      <c r="K19" s="72" t="s">
        <v>83</v>
      </c>
      <c r="L19" s="52">
        <f>((C41^8)*(2.71828^(-C41)))/FACT(8)</f>
        <v>4.3767793491749379E-10</v>
      </c>
      <c r="M19" s="53">
        <f>((D41^8)*(2.71828^(-D41)))/FACT(8)</f>
        <v>3.3652691492827006E-6</v>
      </c>
      <c r="P19" s="36">
        <v>8</v>
      </c>
      <c r="Q19" s="37">
        <v>6</v>
      </c>
      <c r="R19" s="111">
        <v>6</v>
      </c>
    </row>
    <row r="20" spans="2:18">
      <c r="B20">
        <v>9</v>
      </c>
      <c r="C20" s="42"/>
      <c r="D20" s="37"/>
      <c r="G20">
        <v>9</v>
      </c>
      <c r="H20" s="42"/>
      <c r="I20" s="37"/>
      <c r="K20" s="72" t="s">
        <v>84</v>
      </c>
      <c r="L20" s="52">
        <f>((C41^9)*(2.71828^(-C41)))/FACT(9)</f>
        <v>1.2794675270370043E-11</v>
      </c>
      <c r="M20" s="53">
        <f>((D41^9)*(2.71828^(-D41)))/FACT(9)</f>
        <v>3.2470299629565505E-7</v>
      </c>
      <c r="P20" s="36">
        <v>9</v>
      </c>
      <c r="Q20" s="37">
        <v>8</v>
      </c>
      <c r="R20" s="111">
        <v>5</v>
      </c>
    </row>
    <row r="21" spans="2:18" ht="15.75" thickBot="1">
      <c r="B21">
        <v>10</v>
      </c>
      <c r="C21" s="42"/>
      <c r="D21" s="37"/>
      <c r="G21">
        <v>10</v>
      </c>
      <c r="H21" s="42"/>
      <c r="I21" s="37"/>
      <c r="K21" s="73" t="s">
        <v>85</v>
      </c>
      <c r="L21" s="50">
        <f>((C41^10)*(2.71828^(-C41)))/FACT(10)</f>
        <v>3.3662502034645763E-13</v>
      </c>
      <c r="M21" s="51">
        <f>((D41^10)*(2.71828^(-D41)))/FACT(10)</f>
        <v>2.8196506137782147E-8</v>
      </c>
      <c r="P21" s="36">
        <v>2</v>
      </c>
      <c r="Q21" s="37">
        <v>7</v>
      </c>
      <c r="R21" s="111">
        <v>5</v>
      </c>
    </row>
    <row r="22" spans="2:18">
      <c r="B22">
        <v>11</v>
      </c>
      <c r="C22" s="42"/>
      <c r="D22" s="37"/>
      <c r="G22">
        <v>11</v>
      </c>
      <c r="H22" s="42"/>
      <c r="I22" s="37"/>
      <c r="P22" s="36">
        <v>5</v>
      </c>
      <c r="Q22" s="37">
        <v>5</v>
      </c>
      <c r="R22" s="111">
        <v>5</v>
      </c>
    </row>
    <row r="23" spans="2:18" ht="15.75" thickBot="1">
      <c r="B23">
        <v>12</v>
      </c>
      <c r="C23" s="42"/>
      <c r="D23" s="37"/>
      <c r="G23">
        <v>12</v>
      </c>
      <c r="H23" s="42"/>
      <c r="I23" s="37"/>
      <c r="P23" s="36">
        <v>7</v>
      </c>
      <c r="Q23" s="37">
        <v>7</v>
      </c>
      <c r="R23" s="111">
        <v>6</v>
      </c>
    </row>
    <row r="24" spans="2:18">
      <c r="B24">
        <v>13</v>
      </c>
      <c r="C24" s="42"/>
      <c r="D24" s="37"/>
      <c r="G24">
        <v>13</v>
      </c>
      <c r="H24" s="42"/>
      <c r="I24" s="37"/>
      <c r="K24" s="196" t="s">
        <v>100</v>
      </c>
      <c r="L24" s="197"/>
      <c r="M24" s="198"/>
      <c r="P24" s="36">
        <v>7</v>
      </c>
      <c r="Q24" s="37">
        <v>8</v>
      </c>
      <c r="R24" s="111">
        <v>5</v>
      </c>
    </row>
    <row r="25" spans="2:18">
      <c r="B25">
        <v>14</v>
      </c>
      <c r="C25" s="42"/>
      <c r="D25" s="37"/>
      <c r="G25">
        <v>14</v>
      </c>
      <c r="H25" s="42"/>
      <c r="I25" s="37"/>
      <c r="K25" s="199" t="s">
        <v>105</v>
      </c>
      <c r="L25" s="200" t="s">
        <v>101</v>
      </c>
      <c r="M25" s="201" t="s">
        <v>102</v>
      </c>
      <c r="P25" s="36">
        <v>3</v>
      </c>
      <c r="Q25" s="37">
        <v>7</v>
      </c>
      <c r="R25" s="111">
        <v>5</v>
      </c>
    </row>
    <row r="26" spans="2:18">
      <c r="B26">
        <v>15</v>
      </c>
      <c r="C26" s="42"/>
      <c r="D26" s="37"/>
      <c r="G26">
        <v>15</v>
      </c>
      <c r="H26" s="42"/>
      <c r="I26" s="37"/>
      <c r="K26" s="202" t="s">
        <v>103</v>
      </c>
      <c r="L26" s="204">
        <v>5</v>
      </c>
      <c r="M26" s="205">
        <v>0</v>
      </c>
      <c r="P26" s="36">
        <v>6</v>
      </c>
      <c r="Q26" s="37">
        <v>2</v>
      </c>
      <c r="R26" s="111">
        <v>5</v>
      </c>
    </row>
    <row r="27" spans="2:18" ht="15.75" thickBot="1">
      <c r="B27">
        <v>16</v>
      </c>
      <c r="C27" s="43"/>
      <c r="D27" s="39"/>
      <c r="G27">
        <v>16</v>
      </c>
      <c r="H27" s="43"/>
      <c r="I27" s="39"/>
      <c r="K27" s="203" t="s">
        <v>104</v>
      </c>
      <c r="L27" s="206">
        <v>7</v>
      </c>
      <c r="M27" s="207">
        <v>0</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12</v>
      </c>
      <c r="D31" s="9">
        <f>SUM(D12:D30)</f>
        <v>7</v>
      </c>
      <c r="G31" s="27" t="s">
        <v>13</v>
      </c>
      <c r="H31" s="28">
        <f>SUM(H12:H30)</f>
        <v>2</v>
      </c>
      <c r="I31" s="29">
        <f>SUM(I12:I30)</f>
        <v>5</v>
      </c>
      <c r="P31" s="36"/>
      <c r="Q31" s="37"/>
      <c r="R31" s="111"/>
    </row>
    <row r="32" spans="2:18" ht="15.75" thickBot="1">
      <c r="B32" s="14" t="s">
        <v>15</v>
      </c>
      <c r="C32" s="10">
        <f>COUNT(C12:C30)</f>
        <v>5</v>
      </c>
      <c r="G32" s="14" t="s">
        <v>15</v>
      </c>
      <c r="H32" s="26">
        <f>COUNT(H12:H30)</f>
        <v>5</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C31/C32*(1+L26/10)*(1-M26/10)</f>
        <v>3.5999999999999996</v>
      </c>
      <c r="G35" s="143" t="s">
        <v>2</v>
      </c>
      <c r="H35" s="144"/>
      <c r="I35" s="11" t="s">
        <v>4</v>
      </c>
      <c r="J35" s="3">
        <f>I31/H32*(1+L27/10)*(1-M27/10)</f>
        <v>1.7</v>
      </c>
      <c r="P35" s="36"/>
      <c r="Q35" s="37"/>
      <c r="R35" s="111"/>
    </row>
    <row r="36" spans="1:21" ht="15.75" thickBot="1">
      <c r="B36" s="145" t="s">
        <v>3</v>
      </c>
      <c r="C36" s="146"/>
      <c r="D36" s="12" t="s">
        <v>4</v>
      </c>
      <c r="E36" s="2">
        <f>D31/C32*(1-L26/10)*(1+M26/10)</f>
        <v>0.7</v>
      </c>
      <c r="G36" s="145" t="s">
        <v>3</v>
      </c>
      <c r="H36" s="146"/>
      <c r="I36" s="12" t="s">
        <v>4</v>
      </c>
      <c r="J36" s="2">
        <f>H31/H32*(1-L27/10)*(1+M27/10)</f>
        <v>0.12000000000000002</v>
      </c>
      <c r="P36" s="36"/>
      <c r="Q36" s="37"/>
      <c r="R36" s="111"/>
    </row>
    <row r="37" spans="1:21" ht="15.75" thickBot="1">
      <c r="P37" s="38"/>
      <c r="Q37" s="39"/>
      <c r="R37" s="112"/>
    </row>
    <row r="38" spans="1:21" ht="15.75" thickBot="1">
      <c r="B38" s="60"/>
      <c r="C38" s="61" t="s">
        <v>0</v>
      </c>
      <c r="D38" s="62" t="s">
        <v>1</v>
      </c>
      <c r="O38" s="114" t="s">
        <v>24</v>
      </c>
      <c r="P38" s="13">
        <f>SUM(P11:P37)</f>
        <v>133</v>
      </c>
      <c r="Q38" s="113">
        <f>SUM(Q11:Q37)</f>
        <v>111</v>
      </c>
    </row>
    <row r="39" spans="1:21" ht="15.75" thickBot="1">
      <c r="B39" s="63" t="s">
        <v>27</v>
      </c>
      <c r="C39" s="64">
        <f>E35/P41</f>
        <v>2.1924812030075187</v>
      </c>
      <c r="D39" s="65">
        <f>J35/Q41</f>
        <v>1.2405405405405405</v>
      </c>
      <c r="I39" t="s">
        <v>108</v>
      </c>
      <c r="K39" t="s">
        <v>109</v>
      </c>
      <c r="O39" s="14" t="s">
        <v>25</v>
      </c>
      <c r="P39" s="187">
        <f>SUM(R11:R37)</f>
        <v>81</v>
      </c>
      <c r="Q39" s="188"/>
    </row>
    <row r="40" spans="1:21" ht="15.75" thickBot="1">
      <c r="B40" s="18" t="s">
        <v>77</v>
      </c>
      <c r="C40" s="20">
        <f>E36/Q41</f>
        <v>0.5108108108108107</v>
      </c>
      <c r="D40" s="21">
        <f>J36/P41</f>
        <v>7.3082706766917305E-2</v>
      </c>
      <c r="E40" t="s">
        <v>106</v>
      </c>
      <c r="I40" t="s">
        <v>107</v>
      </c>
      <c r="O40" s="14" t="s">
        <v>26</v>
      </c>
      <c r="P40" s="189">
        <f>COUNT(P11:P37)</f>
        <v>16</v>
      </c>
      <c r="Q40" s="190"/>
    </row>
    <row r="41" spans="1:21" ht="15.75" thickBot="1">
      <c r="B41" s="18" t="s">
        <v>78</v>
      </c>
      <c r="C41" s="20">
        <f>C39*D40*P41</f>
        <v>0.26309774436090227</v>
      </c>
      <c r="D41" s="21">
        <f>C40*D39*Q41</f>
        <v>0.86837837837837817</v>
      </c>
      <c r="O41" s="14" t="s">
        <v>35</v>
      </c>
      <c r="P41" s="19">
        <f>P38/(P39)</f>
        <v>1.6419753086419753</v>
      </c>
      <c r="Q41" s="113">
        <f>Q38/(P39)</f>
        <v>1.3703703703703705</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2018-06-03T15:56:54Z</dcterms:modified>
</cp:coreProperties>
</file>