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J4" i="3"/>
  <c r="P40" i="2" l="1"/>
  <c r="F3" i="1"/>
  <c r="G4"/>
  <c r="J3"/>
  <c r="I31" i="2"/>
  <c r="H31"/>
  <c r="Q38"/>
  <c r="P38"/>
  <c r="H32"/>
  <c r="C32"/>
  <c r="D31"/>
  <c r="C31"/>
  <c r="P41" l="1"/>
  <c r="Q41"/>
  <c r="E35"/>
  <c r="E9" i="1" s="1"/>
  <c r="E36" i="2"/>
  <c r="J36"/>
  <c r="J35"/>
  <c r="E10" i="1" l="1"/>
  <c r="D39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9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<sst xmlns="http://schemas.openxmlformats.org/spreadsheetml/2006/main" count="134" uniqueCount="88">
  <si>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</si>
  <si>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</si>
  <si>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</si>
  <si>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</si>
  <si>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</si>
  <si>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</si>
  <si>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</si>
  <si>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</si>
  <si>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</si>
  <si>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</si>
  <si>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</si>
  <si>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</si>
  <si>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</si>
  <si>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</si>
  <si>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</si>
  <si>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</si>
  <si>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</si>
  <si>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</si>
  <si>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</si>
  <si>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</si>
  <si>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</si>
  <si>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</si>
  <si>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</si>
  <si>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</si>
  <si>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</si>
  <si>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</si>
  <si>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</si>
  <si>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</si>
  <si>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</si>
  <si>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</si>
  <si>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</si>
  <si>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</si>
  <si>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</si>
  <si>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</si>
  <si>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</si>
  <si>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</si>
  <si>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</si>
  <si>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</si>
  <si>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</si>
  <si>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</si>
  <si>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</si>
  <si>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</si>
  <si>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</si>
  <si>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</si>
  <si>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Flamengo</t>
  </si>
  <si>
    <t>Bahia</t>
  </si>
  <si>
    <t>      </t>
  </si>
  <si>
    <t>1.</t>
  </si>
  <si>
    <t>Sao Paulo</t>
  </si>
  <si>
    <t>8.</t>
  </si>
  <si>
    <t>Gremio</t>
  </si>
  <si>
    <t>3.</t>
  </si>
  <si>
    <t>Fluminense</t>
  </si>
  <si>
    <t>4.</t>
  </si>
  <si>
    <t>Internacional</t>
  </si>
  <si>
    <t>9.</t>
  </si>
  <si>
    <t>Corinthians</t>
  </si>
  <si>
    <t>10.</t>
  </si>
  <si>
    <t>Palmeiras</t>
  </si>
  <si>
    <t>6.</t>
  </si>
  <si>
    <t>Cruzeiro</t>
  </si>
  <si>
    <t>7.</t>
  </si>
  <si>
    <t>Atlético-MG</t>
  </si>
  <si>
    <t>11.</t>
  </si>
  <si>
    <t>Vasco</t>
  </si>
  <si>
    <t>5.</t>
  </si>
  <si>
    <t>Sport Recife</t>
  </si>
  <si>
    <t>13.</t>
  </si>
  <si>
    <t>Botafogo</t>
  </si>
  <si>
    <t>18.</t>
  </si>
  <si>
    <t>Atlético-PR</t>
  </si>
  <si>
    <t>12.</t>
  </si>
  <si>
    <t>América-MG</t>
  </si>
  <si>
    <t>15.</t>
  </si>
  <si>
    <t>Vitória</t>
  </si>
  <si>
    <t>16.</t>
  </si>
  <si>
    <t>17.</t>
  </si>
  <si>
    <t>Santos</t>
  </si>
  <si>
    <t>14.</t>
  </si>
  <si>
    <t>Chapecoense</t>
  </si>
  <si>
    <t>19.</t>
  </si>
  <si>
    <t>Ceara</t>
  </si>
  <si>
    <t>20.</t>
  </si>
  <si>
    <t>Paraná</t>
  </si>
  <si>
    <t>1-0</t>
  </si>
  <si>
    <t>Brasil Seria A</t>
  </si>
  <si>
    <t>Paranaense</t>
  </si>
  <si>
    <t>2-0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</si>
</sst>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10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5" fontId="0" fillId="0" borderId="0" xfId="0" applyNumberFormat="1"/>
    <xf numFmtId="45" fontId="0" fillId="0" borderId="0" xfId="0" applyNumberFormat="1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K15" sqref="K15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19</v>
      </c>
    </row>
    <row r="2" spans="1:20">
      <c r="F2" s="81" t="s">
        <v>38</v>
      </c>
      <c r="G2" s="79"/>
      <c r="H2" s="79"/>
      <c r="I2" s="85" t="s">
        <v>33</v>
      </c>
      <c r="J2" s="79" t="s">
        <v>39</v>
      </c>
      <c r="K2" s="79"/>
      <c r="L2" s="80"/>
    </row>
    <row r="3" spans="1:20" ht="15.75" thickBot="1">
      <c r="F3" s="84" t="str">
        <f>Cálculos!I4</f>
        <v>Paranaense</v>
      </c>
      <c r="G3" s="82"/>
      <c r="H3" s="82"/>
      <c r="I3" s="86"/>
      <c r="J3" s="82" t="str">
        <f>Cálculos!M4</f>
        <v>Santos</v>
      </c>
      <c r="K3" s="82"/>
      <c r="L3" s="83"/>
    </row>
    <row r="4" spans="1:20" ht="15.75" thickBot="1">
      <c r="G4" s="76" t="str">
        <f>Cálculos!J5</f>
        <v>Brasil Seria A</v>
      </c>
      <c r="H4" s="77"/>
      <c r="I4" s="77"/>
      <c r="J4" s="77"/>
      <c r="K4" s="78"/>
    </row>
    <row r="6" spans="1:20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5.75" thickBot="1"/>
    <row r="8" spans="1:20">
      <c r="B8" s="65" t="s">
        <v>5</v>
      </c>
      <c r="C8" s="66"/>
      <c r="D8" s="66"/>
      <c r="E8" s="67"/>
      <c r="G8" s="65" t="s">
        <v>6</v>
      </c>
      <c r="H8" s="66"/>
      <c r="I8" s="66"/>
      <c r="J8" s="67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71" t="s">
        <v>2</v>
      </c>
      <c r="C9" s="72"/>
      <c r="D9" s="11" t="s">
        <v>4</v>
      </c>
      <c r="E9" s="3">
        <f>Cálculos!E35</f>
        <v>2.3333333333333335</v>
      </c>
      <c r="G9" s="71" t="s">
        <v>2</v>
      </c>
      <c r="H9" s="72"/>
      <c r="I9" s="11" t="s">
        <v>4</v>
      </c>
      <c r="J9" s="3">
        <f>Cálculos!J35</f>
        <v>0.33333333333333331</v>
      </c>
      <c r="L9" s="20" t="s">
        <v>29</v>
      </c>
      <c r="M9" s="23">
        <f>Cálculos!C39</f>
        <v>14.077777777777781</v>
      </c>
      <c r="N9" s="24">
        <f>Cálculos!D39</f>
        <v>1.7238095238095239</v>
      </c>
      <c r="P9" s="75"/>
      <c r="Q9" s="75"/>
      <c r="R9" s="75"/>
      <c r="S9" s="75"/>
      <c r="T9" s="75"/>
    </row>
    <row r="10" spans="1:20" ht="15.75" thickBot="1">
      <c r="B10" s="73" t="s">
        <v>3</v>
      </c>
      <c r="C10" s="74"/>
      <c r="D10" s="12" t="s">
        <v>4</v>
      </c>
      <c r="E10" s="2">
        <f>Cálculos!E36</f>
        <v>2</v>
      </c>
      <c r="G10" s="73" t="s">
        <v>3</v>
      </c>
      <c r="H10" s="74"/>
      <c r="I10" s="12" t="s">
        <v>4</v>
      </c>
      <c r="J10" s="2">
        <f>Cálculos!J36</f>
        <v>2.3333333333333335</v>
      </c>
      <c r="P10" s="75"/>
      <c r="Q10" s="75"/>
      <c r="R10" s="75"/>
      <c r="S10" s="75"/>
      <c r="T10" s="75"/>
    </row>
    <row r="11" spans="1:20">
      <c r="P11" s="75"/>
      <c r="Q11" s="75"/>
      <c r="R11" s="75"/>
      <c r="S11" s="75"/>
      <c r="T11" s="75"/>
    </row>
    <row r="12" spans="1:20">
      <c r="B12" s="70" t="s">
        <v>30</v>
      </c>
      <c r="C12" s="69" t="s">
        <v>7</v>
      </c>
      <c r="D12" s="69"/>
      <c r="E12" s="69"/>
      <c r="F12" s="69"/>
      <c r="G12" s="69"/>
      <c r="H12" s="69"/>
      <c r="I12" s="69"/>
      <c r="K12" s="35" t="s">
        <v>34</v>
      </c>
      <c r="L12" s="35"/>
      <c r="M12" s="35"/>
      <c r="N12" s="35" t="s">
        <v>35</v>
      </c>
      <c r="O12" s="35"/>
      <c r="P12" s="75"/>
      <c r="Q12" s="75"/>
      <c r="R12" s="75"/>
      <c r="S12" s="75"/>
      <c r="T12" s="75"/>
    </row>
    <row r="13" spans="1:20" ht="15.75" thickBot="1">
      <c r="B13" s="70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87</v>
      </c>
      <c r="L13" s="36"/>
      <c r="M13" s="36" t="s">
        <v>36</v>
      </c>
      <c r="N13" s="36"/>
      <c r="O13" s="36"/>
      <c r="P13" s="75"/>
      <c r="Q13" s="75"/>
      <c r="R13" s="75"/>
      <c r="S13" s="75"/>
      <c r="T13" s="75"/>
    </row>
    <row r="14" spans="1:20">
      <c r="B14" s="16" t="s">
        <v>8</v>
      </c>
      <c r="C14" s="49">
        <f>Cálculos!L11</f>
        <v>9.6972120064259232E-2</v>
      </c>
      <c r="D14" s="50">
        <f>Cálculos!L12</f>
        <v>0.22626828014993822</v>
      </c>
      <c r="E14" s="50">
        <f>Cálculos!L13</f>
        <v>0.26397966017492797</v>
      </c>
      <c r="F14" s="50">
        <f>Cálculos!L14</f>
        <v>0.20531751346938842</v>
      </c>
      <c r="G14" s="50">
        <f>Cálculos!L15</f>
        <v>0.11976854952380994</v>
      </c>
      <c r="H14" s="50">
        <f>Cálculos!L16</f>
        <v>5.5891989777777977E-2</v>
      </c>
      <c r="I14" s="51">
        <f>Cálculos!L17</f>
        <v>2.1735773802469216E-2</v>
      </c>
      <c r="K14" s="36" t="s">
        <v>84</v>
      </c>
      <c r="L14" s="36"/>
      <c r="M14" s="36" t="s">
        <v>37</v>
      </c>
      <c r="N14" s="36"/>
      <c r="O14" s="36"/>
      <c r="P14" s="75"/>
      <c r="Q14" s="75"/>
      <c r="R14" s="75"/>
      <c r="S14" s="75"/>
      <c r="T14" s="75"/>
    </row>
    <row r="15" spans="1:20" ht="15.75" thickBot="1">
      <c r="B15" s="16" t="s">
        <v>9</v>
      </c>
      <c r="C15" s="52">
        <f>Cálculos!M11</f>
        <v>0.71653147123271843</v>
      </c>
      <c r="D15" s="53">
        <f>Cálculos!M12</f>
        <v>0.23884382374423946</v>
      </c>
      <c r="E15" s="53">
        <f>Cálculos!M13</f>
        <v>3.9807303957373245E-2</v>
      </c>
      <c r="F15" s="53">
        <f>Cálculos!M14</f>
        <v>4.4230337730414718E-3</v>
      </c>
      <c r="G15" s="53">
        <f>Cálculos!M15</f>
        <v>3.6858614775345597E-4</v>
      </c>
      <c r="H15" s="53">
        <f>Cálculos!M16</f>
        <v>2.4572409850230395E-5</v>
      </c>
      <c r="I15" s="54">
        <f>Cálculos!M17</f>
        <v>1.3651338805683554E-6</v>
      </c>
      <c r="K15" s="36"/>
      <c r="L15" s="36"/>
      <c r="M15" s="36"/>
      <c r="N15" s="36"/>
      <c r="O15" s="36"/>
      <c r="P15" s="75"/>
      <c r="Q15" s="75"/>
      <c r="R15" s="75"/>
      <c r="S15" s="75"/>
      <c r="T15" s="75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G4:K4"/>
    <mergeCell ref="J2:L2"/>
    <mergeCell ref="F2:H2"/>
    <mergeCell ref="J3:L3"/>
    <mergeCell ref="F3:H3"/>
    <mergeCell ref="I2:I3"/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5"/>
  <sheetViews>
    <sheetView zoomScale="85" zoomScaleNormal="85" workbookViewId="0">
      <selection activeCell="P31" sqref="P31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101" t="s">
        <v>41</v>
      </c>
      <c r="C2" s="101"/>
    </row>
    <row r="3" spans="1:22">
      <c r="I3" s="102" t="s">
        <v>38</v>
      </c>
      <c r="J3" s="103"/>
      <c r="K3" s="103"/>
      <c r="L3" s="104" t="s">
        <v>33</v>
      </c>
      <c r="M3" s="103" t="s">
        <v>39</v>
      </c>
      <c r="N3" s="103"/>
      <c r="O3" s="106"/>
    </row>
    <row r="4" spans="1:22" ht="15.75" thickBot="1">
      <c r="I4" s="107" t="s">
        <v>86</v>
      </c>
      <c r="J4" s="108"/>
      <c r="K4" s="108"/>
      <c r="L4" s="105"/>
      <c r="M4" s="108" t="s">
        <v>77</v>
      </c>
      <c r="N4" s="108"/>
      <c r="O4" s="109"/>
    </row>
    <row r="5" spans="1:22" ht="15.75" thickBot="1">
      <c r="J5" s="98" t="s">
        <v>85</v>
      </c>
      <c r="K5" s="99"/>
      <c r="L5" s="99"/>
      <c r="M5" s="99"/>
      <c r="N5" s="100"/>
    </row>
    <row r="6" spans="1:22">
      <c r="A6" s="87" t="s">
        <v>31</v>
      </c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</row>
    <row r="7" spans="1:22" ht="15.75" thickBo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</row>
    <row r="8" spans="1:22" ht="15.75" thickTop="1"/>
    <row r="9" spans="1:22" ht="15.75" thickBot="1">
      <c r="P9" s="89" t="s">
        <v>23</v>
      </c>
      <c r="Q9" s="89"/>
    </row>
    <row r="10" spans="1:22" ht="15.75" thickBot="1">
      <c r="C10" s="94" t="s">
        <v>10</v>
      </c>
      <c r="D10" s="95"/>
      <c r="H10" s="96" t="s">
        <v>14</v>
      </c>
      <c r="I10" s="97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((E35^0)*(2.71828^(-E35)))/FACT(0)</f>
        <v>9.6972120064259232E-2</v>
      </c>
      <c r="M11" s="56">
        <f>((J35^0)*(2.71828^(-J35)))/FACT(0)</f>
        <v>0.71653147123271843</v>
      </c>
      <c r="P11" s="37">
        <v>13</v>
      </c>
      <c r="Q11" s="38"/>
    </row>
    <row r="12" spans="1:22">
      <c r="C12" s="43">
        <v>1</v>
      </c>
      <c r="D12" s="44">
        <v>2</v>
      </c>
      <c r="H12" s="43">
        <v>1</v>
      </c>
      <c r="I12" s="44">
        <v>0</v>
      </c>
      <c r="K12" s="27" t="s">
        <v>17</v>
      </c>
      <c r="L12" s="55">
        <f>((E35^1)*(2.71828^(-E35)))/FACT(1)</f>
        <v>0.22626828014993822</v>
      </c>
      <c r="M12" s="56">
        <f>((J35^1)*(2.71828^(-J35)))/FACT(1)</f>
        <v>0.23884382374423946</v>
      </c>
      <c r="P12" s="39">
        <v>13</v>
      </c>
      <c r="Q12" s="40"/>
    </row>
    <row r="13" spans="1:22">
      <c r="C13" s="45">
        <v>1</v>
      </c>
      <c r="D13" s="40">
        <v>3</v>
      </c>
      <c r="H13" s="45">
        <v>5</v>
      </c>
      <c r="I13" s="40">
        <v>1</v>
      </c>
      <c r="K13" s="27" t="s">
        <v>18</v>
      </c>
      <c r="L13" s="55">
        <f>((E35^2)*(2.71828^(-E35)))/FACT(2)</f>
        <v>0.26397966017492797</v>
      </c>
      <c r="M13" s="56">
        <f>((J35^2)*(2.71828^(-J35)))/FACT(2)</f>
        <v>3.9807303957373245E-2</v>
      </c>
      <c r="P13" s="39">
        <v>11</v>
      </c>
      <c r="Q13" s="40"/>
    </row>
    <row r="14" spans="1:22">
      <c r="C14" s="45">
        <v>5</v>
      </c>
      <c r="D14" s="40">
        <v>1</v>
      </c>
      <c r="H14" s="45">
        <v>1</v>
      </c>
      <c r="I14" s="40">
        <v>0</v>
      </c>
      <c r="K14" s="27" t="s">
        <v>19</v>
      </c>
      <c r="L14" s="55">
        <f>((E35^3)*(2.71828^(-E35)))/FACT(3)</f>
        <v>0.20531751346938842</v>
      </c>
      <c r="M14" s="56">
        <f>((J35^3)*(2.71828^(-J35)))/FACT(3)</f>
        <v>4.4230337730414718E-3</v>
      </c>
      <c r="P14" s="39">
        <v>10</v>
      </c>
      <c r="Q14" s="40"/>
    </row>
    <row r="15" spans="1:22">
      <c r="C15" s="45"/>
      <c r="D15" s="40"/>
      <c r="H15" s="45"/>
      <c r="I15" s="40"/>
      <c r="K15" s="27" t="s">
        <v>21</v>
      </c>
      <c r="L15" s="55">
        <f>((E35^4)*(2.71828^(-E35)))/FACT(4)</f>
        <v>0.11976854952380994</v>
      </c>
      <c r="M15" s="56">
        <f>((J35^4)*(2.71828^(-J35)))/FACT(4)</f>
        <v>3.6858614775345597E-4</v>
      </c>
      <c r="P15" s="39">
        <v>12</v>
      </c>
      <c r="Q15" s="40"/>
    </row>
    <row r="16" spans="1:22">
      <c r="C16" s="45"/>
      <c r="D16" s="40"/>
      <c r="H16" s="45"/>
      <c r="I16" s="40"/>
      <c r="K16" s="27" t="s">
        <v>20</v>
      </c>
      <c r="L16" s="55">
        <f>((E35^5)*(2.71828^(-E35)))/FACT(5)</f>
        <v>5.5891989777777977E-2</v>
      </c>
      <c r="M16" s="56">
        <f>((J35^5)*(2.71828^(-J35)))/FACT(5)</f>
        <v>2.4572409850230395E-5</v>
      </c>
      <c r="P16" s="39">
        <v>5</v>
      </c>
      <c r="Q16" s="40"/>
    </row>
    <row r="17" spans="2:17" ht="15.75" thickBot="1">
      <c r="C17" s="45"/>
      <c r="D17" s="40"/>
      <c r="H17" s="45"/>
      <c r="I17" s="40"/>
      <c r="K17" s="28" t="s">
        <v>22</v>
      </c>
      <c r="L17" s="53">
        <f>((E35^6)*(2.71828^(-E35)))/FACT(6)</f>
        <v>2.1735773802469216E-2</v>
      </c>
      <c r="M17" s="54">
        <f>((J35^6)*(2.71828^(-J35)))/FACT(6)</f>
        <v>1.3651338805683554E-6</v>
      </c>
      <c r="P17" s="39">
        <v>11</v>
      </c>
      <c r="Q17" s="40"/>
    </row>
    <row r="18" spans="2:17">
      <c r="C18" s="45"/>
      <c r="D18" s="40"/>
      <c r="H18" s="45"/>
      <c r="I18" s="40"/>
      <c r="P18" s="39">
        <v>8</v>
      </c>
      <c r="Q18" s="40"/>
    </row>
    <row r="19" spans="2:17">
      <c r="C19" s="45"/>
      <c r="D19" s="40"/>
      <c r="H19" s="45"/>
      <c r="I19" s="40"/>
      <c r="P19" s="39">
        <v>10</v>
      </c>
      <c r="Q19" s="40"/>
    </row>
    <row r="20" spans="2:17">
      <c r="C20" s="45"/>
      <c r="D20" s="40"/>
      <c r="H20" s="45"/>
      <c r="I20" s="40"/>
      <c r="P20" s="39">
        <v>10</v>
      </c>
      <c r="Q20" s="40"/>
    </row>
    <row r="21" spans="2:17">
      <c r="C21" s="45"/>
      <c r="D21" s="40"/>
      <c r="H21" s="45"/>
      <c r="I21" s="40"/>
      <c r="P21" s="39">
        <v>11</v>
      </c>
      <c r="Q21" s="40"/>
    </row>
    <row r="22" spans="2:17">
      <c r="C22" s="45"/>
      <c r="D22" s="40"/>
      <c r="H22" s="45"/>
      <c r="I22" s="40"/>
      <c r="P22" s="39">
        <v>10</v>
      </c>
      <c r="Q22" s="40"/>
    </row>
    <row r="23" spans="2:17">
      <c r="C23" s="45"/>
      <c r="D23" s="40"/>
      <c r="H23" s="45"/>
      <c r="I23" s="40"/>
      <c r="P23" s="39">
        <v>9</v>
      </c>
      <c r="Q23" s="40"/>
    </row>
    <row r="24" spans="2:17">
      <c r="C24" s="45"/>
      <c r="D24" s="40"/>
      <c r="H24" s="45"/>
      <c r="I24" s="40"/>
      <c r="P24" s="39">
        <v>6</v>
      </c>
      <c r="Q24" s="40"/>
    </row>
    <row r="25" spans="2:17">
      <c r="C25" s="45"/>
      <c r="D25" s="40"/>
      <c r="H25" s="45"/>
      <c r="I25" s="40"/>
      <c r="P25" s="39">
        <v>9</v>
      </c>
      <c r="Q25" s="40"/>
    </row>
    <row r="26" spans="2:17">
      <c r="C26" s="45"/>
      <c r="D26" s="40"/>
      <c r="H26" s="45"/>
      <c r="I26" s="40"/>
      <c r="P26" s="39">
        <v>13</v>
      </c>
      <c r="Q26" s="40"/>
    </row>
    <row r="27" spans="2:17">
      <c r="C27" s="46"/>
      <c r="D27" s="42"/>
      <c r="H27" s="46"/>
      <c r="I27" s="42"/>
      <c r="P27" s="39">
        <v>6</v>
      </c>
      <c r="Q27" s="40"/>
    </row>
    <row r="28" spans="2:17">
      <c r="C28" s="46"/>
      <c r="D28" s="42"/>
      <c r="H28" s="46"/>
      <c r="I28" s="42"/>
      <c r="P28" s="39">
        <v>7</v>
      </c>
      <c r="Q28" s="40"/>
    </row>
    <row r="29" spans="2:17">
      <c r="C29" s="46"/>
      <c r="D29" s="42"/>
      <c r="H29" s="46"/>
      <c r="I29" s="42"/>
      <c r="P29" s="39">
        <v>4</v>
      </c>
      <c r="Q29" s="40"/>
    </row>
    <row r="30" spans="2:17" ht="15.75" thickBot="1">
      <c r="C30" s="47"/>
      <c r="D30" s="48"/>
      <c r="H30" s="46"/>
      <c r="I30" s="42"/>
      <c r="P30" s="39">
        <v>3</v>
      </c>
      <c r="Q30" s="40"/>
    </row>
    <row r="31" spans="2:17" ht="15.75" thickBot="1">
      <c r="B31" s="14" t="s">
        <v>13</v>
      </c>
      <c r="C31" s="8">
        <f>SUM(C12:C30)</f>
        <v>7</v>
      </c>
      <c r="D31" s="9">
        <f>SUM(D12:D30)</f>
        <v>6</v>
      </c>
      <c r="G31" s="30" t="s">
        <v>13</v>
      </c>
      <c r="H31" s="31">
        <f>SUM(H12:H30)</f>
        <v>7</v>
      </c>
      <c r="I31" s="32">
        <f>SUM(I12:I30)</f>
        <v>1</v>
      </c>
      <c r="P31" s="39"/>
      <c r="Q31" s="40"/>
    </row>
    <row r="32" spans="2:17" ht="15.75" thickBot="1">
      <c r="B32" s="14" t="s">
        <v>15</v>
      </c>
      <c r="C32" s="10">
        <f>COUNT(C12:C30)</f>
        <v>3</v>
      </c>
      <c r="G32" s="14" t="s">
        <v>15</v>
      </c>
      <c r="H32" s="29">
        <f>COUNT(H12:H30)</f>
        <v>3</v>
      </c>
      <c r="P32" s="39"/>
      <c r="Q32" s="40"/>
    </row>
    <row r="33" spans="1:22">
      <c r="P33" s="39"/>
      <c r="Q33" s="40"/>
    </row>
    <row r="34" spans="1:22">
      <c r="B34" s="89" t="s">
        <v>5</v>
      </c>
      <c r="C34" s="89"/>
      <c r="D34" s="89"/>
      <c r="E34" s="89"/>
      <c r="G34" s="89" t="s">
        <v>6</v>
      </c>
      <c r="H34" s="89"/>
      <c r="I34" s="89"/>
      <c r="J34" s="89"/>
      <c r="P34" s="39"/>
      <c r="Q34" s="40"/>
    </row>
    <row r="35" spans="1:22">
      <c r="B35" s="71" t="s">
        <v>2</v>
      </c>
      <c r="C35" s="72"/>
      <c r="D35" s="11" t="s">
        <v>4</v>
      </c>
      <c r="E35" s="3">
        <f>C31/C32</f>
        <v>2.3333333333333335</v>
      </c>
      <c r="G35" s="71" t="s">
        <v>2</v>
      </c>
      <c r="H35" s="72"/>
      <c r="I35" s="11" t="s">
        <v>4</v>
      </c>
      <c r="J35" s="3">
        <f>I31/H32</f>
        <v>0.33333333333333331</v>
      </c>
      <c r="P35" s="39"/>
      <c r="Q35" s="40"/>
    </row>
    <row r="36" spans="1:22" ht="15.75" thickBot="1">
      <c r="B36" s="73" t="s">
        <v>3</v>
      </c>
      <c r="C36" s="74"/>
      <c r="D36" s="12" t="s">
        <v>4</v>
      </c>
      <c r="E36" s="2">
        <f>D31/C32</f>
        <v>2</v>
      </c>
      <c r="G36" s="73" t="s">
        <v>3</v>
      </c>
      <c r="H36" s="74"/>
      <c r="I36" s="12" t="s">
        <v>4</v>
      </c>
      <c r="J36" s="2">
        <f>H31/H32</f>
        <v>2.3333333333333335</v>
      </c>
      <c r="P36" s="39"/>
      <c r="Q36" s="40"/>
    </row>
    <row r="37" spans="1:22" ht="15.75" thickBot="1">
      <c r="P37" s="41"/>
      <c r="Q37" s="42"/>
    </row>
    <row r="38" spans="1:22" ht="15.75" thickBot="1">
      <c r="B38" s="17"/>
      <c r="C38" s="18" t="s">
        <v>0</v>
      </c>
      <c r="D38" s="19" t="s">
        <v>1</v>
      </c>
      <c r="O38" s="14" t="s">
        <v>26</v>
      </c>
      <c r="P38" s="13">
        <f>SUM(P11:P37)</f>
        <v>181</v>
      </c>
      <c r="Q38" s="21">
        <f>SUM(Q11:Q37)</f>
        <v>0</v>
      </c>
    </row>
    <row r="39" spans="1:22" ht="15.75" thickBot="1">
      <c r="B39" s="20" t="s">
        <v>29</v>
      </c>
      <c r="C39" s="23">
        <f>E35*J36*P41</f>
        <v>14.077777777777781</v>
      </c>
      <c r="D39" s="24">
        <f>J35*E36*P41</f>
        <v>1.7238095238095239</v>
      </c>
      <c r="O39" s="14" t="s">
        <v>27</v>
      </c>
      <c r="P39" s="90">
        <v>7</v>
      </c>
      <c r="Q39" s="91"/>
    </row>
    <row r="40" spans="1:22" ht="15.75" thickBot="1">
      <c r="O40" s="14" t="s">
        <v>28</v>
      </c>
      <c r="P40" s="92">
        <f>COUNT(P11:P37)</f>
        <v>20</v>
      </c>
      <c r="Q40" s="93"/>
    </row>
    <row r="41" spans="1:22" ht="15.75" thickBot="1">
      <c r="O41" s="14" t="s">
        <v>42</v>
      </c>
      <c r="P41" s="22">
        <f>P38/(P39*(P40/2))</f>
        <v>2.5857142857142859</v>
      </c>
      <c r="Q41" s="21">
        <f>Q38/(P39*P40)</f>
        <v>0</v>
      </c>
    </row>
    <row r="43" spans="1:22">
      <c r="A43" s="87" t="s">
        <v>32</v>
      </c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</row>
    <row r="44" spans="1:22" ht="15.75" thickBot="1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</row>
    <row r="45" spans="1:22" ht="15.75" thickTop="1"/>
    <row r="118" spans="3:15">
      <c r="C118" s="4"/>
    </row>
    <row r="119" spans="3:15">
      <c r="C119" s="4"/>
    </row>
    <row r="121" spans="3:15">
      <c r="C121" s="4"/>
      <c r="F121" s="5"/>
      <c r="O121" s="6"/>
    </row>
    <row r="123" spans="3:15">
      <c r="C123" s="4"/>
      <c r="O123" s="5"/>
    </row>
    <row r="125" spans="3:15">
      <c r="C125" s="4"/>
      <c r="F125" s="5"/>
      <c r="O125" s="6"/>
    </row>
    <row r="127" spans="3:15">
      <c r="C127" s="4"/>
      <c r="F127" s="5"/>
      <c r="O127" s="5"/>
    </row>
    <row r="129" spans="3:15">
      <c r="C129" s="4"/>
      <c r="O129" s="6"/>
    </row>
    <row r="131" spans="3:15">
      <c r="C131" s="4"/>
      <c r="F131" s="5"/>
      <c r="O131" s="6"/>
    </row>
    <row r="133" spans="3:15">
      <c r="C133" s="4"/>
      <c r="O133" s="5"/>
    </row>
    <row r="135" spans="3:15">
      <c r="C135" s="4"/>
      <c r="F135" s="5"/>
      <c r="O135" s="5"/>
    </row>
    <row r="137" spans="3:15">
      <c r="C137" s="4"/>
      <c r="O137" s="6"/>
    </row>
    <row r="139" spans="3:15">
      <c r="C139" s="4"/>
      <c r="F139" s="5"/>
      <c r="O139" s="5"/>
    </row>
    <row r="141" spans="3:15">
      <c r="C141" s="4"/>
      <c r="F141" s="5"/>
    </row>
    <row r="143" spans="3:15">
      <c r="C143" s="4"/>
      <c r="O143" s="5"/>
    </row>
    <row r="145" spans="3:15">
      <c r="C145" s="4"/>
      <c r="F145" s="5"/>
    </row>
    <row r="147" spans="3:15">
      <c r="C147" s="4"/>
      <c r="O147" s="5"/>
    </row>
    <row r="149" spans="3:15">
      <c r="C149" s="4"/>
      <c r="F149" s="5"/>
      <c r="O149" s="5"/>
    </row>
    <row r="151" spans="3:15">
      <c r="C151" s="4"/>
      <c r="F151" s="5"/>
    </row>
    <row r="153" spans="3:15">
      <c r="C153" s="4"/>
      <c r="O153" s="5"/>
    </row>
    <row r="155" spans="3:15">
      <c r="C155" s="4"/>
      <c r="O155" s="6"/>
    </row>
    <row r="157" spans="3:15">
      <c r="C157" s="4"/>
      <c r="O157" s="5"/>
    </row>
    <row r="159" spans="3:15">
      <c r="C159" s="4"/>
      <c r="O159" s="5"/>
    </row>
    <row r="161" spans="3:15">
      <c r="C161" s="4"/>
    </row>
    <row r="163" spans="3:15">
      <c r="C163" s="4"/>
      <c r="F163" s="5"/>
      <c r="O163" s="6"/>
    </row>
    <row r="165" spans="3:15">
      <c r="C165" s="4"/>
      <c r="O165" s="5"/>
    </row>
    <row r="167" spans="3:15">
      <c r="C167" s="4"/>
      <c r="O167" s="5"/>
    </row>
    <row r="169" spans="3:15">
      <c r="C169" s="4"/>
      <c r="F169" s="5"/>
      <c r="O169" s="5"/>
    </row>
    <row r="171" spans="3:15">
      <c r="C171" s="4"/>
      <c r="F171" s="5"/>
      <c r="O171" s="5"/>
    </row>
    <row r="173" spans="3:15">
      <c r="C173" s="4"/>
      <c r="F173" s="5"/>
      <c r="O173" s="5"/>
    </row>
    <row r="175" spans="3:15">
      <c r="C175" s="4"/>
      <c r="F175" s="5"/>
      <c r="O175" s="6"/>
    </row>
  </sheetData>
  <mergeCells count="20">
    <mergeCell ref="J5:N5"/>
    <mergeCell ref="B2:C2"/>
    <mergeCell ref="I3:K3"/>
    <mergeCell ref="L3:L4"/>
    <mergeCell ref="M3:O3"/>
    <mergeCell ref="I4:K4"/>
    <mergeCell ref="M4:O4"/>
    <mergeCell ref="A6:V7"/>
    <mergeCell ref="A43:V44"/>
    <mergeCell ref="B36:C36"/>
    <mergeCell ref="G36:H36"/>
    <mergeCell ref="P9:Q9"/>
    <mergeCell ref="P39:Q39"/>
    <mergeCell ref="P40:Q40"/>
    <mergeCell ref="C10:D10"/>
    <mergeCell ref="H10:I10"/>
    <mergeCell ref="B34:E34"/>
    <mergeCell ref="G34:J34"/>
    <mergeCell ref="B35:C35"/>
    <mergeCell ref="G35:H35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Q39"/>
  <sheetViews>
    <sheetView workbookViewId="0">
      <selection activeCell="J4" sqref="J4"/>
    </sheetView>
  </sheetViews>
  <sheetFormatPr baseColWidth="10" defaultRowHeight="15"/>
  <cols>
    <col min="10" max="10" width="11.85546875" style="63" bestFit="1" customWidth="1"/>
    <col min="12" max="12" width="11.5703125" style="35" bestFit="1" customWidth="1"/>
    <col min="14" max="14" width="11.42578125" style="35"/>
  </cols>
  <sheetData>
    <row r="1" spans="1:17">
      <c r="A1" s="35"/>
      <c r="B1" s="35"/>
      <c r="C1" s="35"/>
      <c r="D1" s="35"/>
      <c r="E1" s="35"/>
      <c r="F1" s="35"/>
      <c r="G1" s="35"/>
      <c r="H1" s="35"/>
      <c r="I1" s="35"/>
      <c r="K1" s="35"/>
      <c r="M1" s="35"/>
      <c r="O1" s="35"/>
      <c r="P1" s="35"/>
      <c r="Q1" s="35"/>
    </row>
    <row r="2" spans="1:17">
      <c r="A2" s="35"/>
      <c r="B2" s="35"/>
      <c r="C2" s="35"/>
      <c r="D2" s="35"/>
      <c r="E2" s="35"/>
      <c r="F2" s="35"/>
      <c r="G2" s="35"/>
      <c r="H2" s="35"/>
      <c r="I2" s="35"/>
      <c r="K2" s="35"/>
      <c r="M2" s="35"/>
      <c r="O2" s="35"/>
      <c r="P2" s="35"/>
      <c r="Q2" s="35"/>
    </row>
    <row r="3" spans="1:17">
      <c r="A3" s="35"/>
      <c r="B3" s="61" t="s">
        <v>44</v>
      </c>
      <c r="C3" s="61">
        <v>7</v>
      </c>
      <c r="D3" s="61">
        <v>4</v>
      </c>
      <c r="E3" s="61">
        <v>2</v>
      </c>
      <c r="F3" s="61">
        <v>1</v>
      </c>
      <c r="G3" s="60">
        <v>0.54583333333333328</v>
      </c>
      <c r="H3" s="61">
        <v>14</v>
      </c>
      <c r="I3" s="61" t="s">
        <v>46</v>
      </c>
      <c r="K3" s="35"/>
      <c r="M3" s="35"/>
      <c r="O3" s="35"/>
      <c r="P3" s="35"/>
      <c r="Q3" s="35"/>
    </row>
    <row r="4" spans="1:17">
      <c r="A4" s="35"/>
      <c r="B4" s="61" t="s">
        <v>47</v>
      </c>
      <c r="C4" s="61" t="s">
        <v>48</v>
      </c>
      <c r="D4" s="61">
        <v>8</v>
      </c>
      <c r="E4" s="61">
        <v>4</v>
      </c>
      <c r="F4" s="61">
        <v>4</v>
      </c>
      <c r="G4" s="61">
        <v>0</v>
      </c>
      <c r="H4" s="60">
        <v>0.54722222222222217</v>
      </c>
      <c r="I4" s="60">
        <v>16</v>
      </c>
      <c r="J4" s="60" t="str">
        <f>LEFT(H4,2)</f>
        <v>0,</v>
      </c>
      <c r="K4" s="35"/>
      <c r="M4" s="35"/>
      <c r="O4" s="35"/>
      <c r="P4" s="35"/>
      <c r="Q4" s="35"/>
    </row>
    <row r="5" spans="1:17">
      <c r="A5" s="35"/>
      <c r="B5" s="61" t="s">
        <v>49</v>
      </c>
      <c r="C5" s="61" t="s">
        <v>50</v>
      </c>
      <c r="D5" s="61">
        <v>8</v>
      </c>
      <c r="E5" s="61">
        <v>3</v>
      </c>
      <c r="F5" s="61">
        <v>4</v>
      </c>
      <c r="G5" s="61">
        <v>1</v>
      </c>
      <c r="H5" s="60">
        <v>0.3354166666666667</v>
      </c>
      <c r="I5" s="61">
        <v>13</v>
      </c>
      <c r="J5" s="64" t="s">
        <v>46</v>
      </c>
      <c r="K5" s="62"/>
      <c r="L5" s="62"/>
      <c r="M5" s="62"/>
      <c r="N5" s="62"/>
      <c r="O5" s="35"/>
      <c r="P5" s="35"/>
      <c r="Q5" s="35"/>
    </row>
    <row r="6" spans="1:17">
      <c r="A6" s="35"/>
      <c r="B6" s="61" t="s">
        <v>51</v>
      </c>
      <c r="C6" s="61" t="s">
        <v>52</v>
      </c>
      <c r="D6" s="61">
        <v>8</v>
      </c>
      <c r="E6" s="61">
        <v>4</v>
      </c>
      <c r="F6" s="61">
        <v>2</v>
      </c>
      <c r="G6" s="61">
        <v>2</v>
      </c>
      <c r="H6" s="60">
        <v>0.46319444444444446</v>
      </c>
      <c r="I6" s="61">
        <v>14</v>
      </c>
      <c r="J6" s="64" t="s">
        <v>46</v>
      </c>
      <c r="K6" s="62"/>
      <c r="L6" s="62"/>
      <c r="M6" s="62"/>
      <c r="N6" s="62"/>
      <c r="O6" s="35"/>
      <c r="P6" s="35"/>
      <c r="Q6" s="35"/>
    </row>
    <row r="7" spans="1:17" ht="30">
      <c r="A7" s="35"/>
      <c r="B7" s="61" t="s">
        <v>53</v>
      </c>
      <c r="C7" s="61" t="s">
        <v>54</v>
      </c>
      <c r="D7" s="61">
        <v>8</v>
      </c>
      <c r="E7" s="61">
        <v>4</v>
      </c>
      <c r="F7" s="61">
        <v>2</v>
      </c>
      <c r="G7" s="61">
        <v>2</v>
      </c>
      <c r="H7" s="60">
        <v>0.42083333333333334</v>
      </c>
      <c r="I7" s="61">
        <v>14</v>
      </c>
      <c r="J7" s="64" t="s">
        <v>46</v>
      </c>
      <c r="K7" s="62"/>
      <c r="L7" s="62"/>
      <c r="M7" s="62"/>
      <c r="N7" s="62"/>
      <c r="O7" s="35"/>
      <c r="P7" s="35"/>
      <c r="Q7" s="35"/>
    </row>
    <row r="8" spans="1:17">
      <c r="A8" s="35"/>
      <c r="B8" s="61" t="s">
        <v>55</v>
      </c>
      <c r="C8" s="61" t="s">
        <v>56</v>
      </c>
      <c r="D8" s="61">
        <v>7</v>
      </c>
      <c r="E8" s="61">
        <v>3</v>
      </c>
      <c r="F8" s="61">
        <v>2</v>
      </c>
      <c r="G8" s="61">
        <v>2</v>
      </c>
      <c r="H8" s="60">
        <v>0.42083333333333334</v>
      </c>
      <c r="I8" s="61">
        <v>11</v>
      </c>
      <c r="J8" s="64" t="s">
        <v>46</v>
      </c>
      <c r="K8" s="62"/>
      <c r="L8" s="62"/>
      <c r="M8" s="62"/>
      <c r="N8" s="62"/>
      <c r="O8" s="35"/>
      <c r="P8" s="35"/>
      <c r="Q8" s="35"/>
    </row>
    <row r="9" spans="1:17">
      <c r="A9" s="35"/>
      <c r="B9" s="61" t="s">
        <v>57</v>
      </c>
      <c r="C9" s="61" t="s">
        <v>58</v>
      </c>
      <c r="D9" s="61">
        <v>8</v>
      </c>
      <c r="E9" s="61">
        <v>3</v>
      </c>
      <c r="F9" s="61">
        <v>2</v>
      </c>
      <c r="G9" s="61">
        <v>3</v>
      </c>
      <c r="H9" s="60">
        <v>0.42152777777777778</v>
      </c>
      <c r="I9" s="61">
        <v>11</v>
      </c>
      <c r="J9" s="64" t="s">
        <v>46</v>
      </c>
      <c r="K9" s="62"/>
      <c r="L9" s="62"/>
      <c r="M9" s="62"/>
      <c r="N9" s="62"/>
      <c r="O9" s="35"/>
      <c r="P9" s="35"/>
      <c r="Q9" s="35"/>
    </row>
    <row r="10" spans="1:17">
      <c r="A10" s="35"/>
      <c r="B10" s="61" t="s">
        <v>59</v>
      </c>
      <c r="C10" s="61" t="s">
        <v>60</v>
      </c>
      <c r="D10" s="61">
        <v>8</v>
      </c>
      <c r="E10" s="61">
        <v>4</v>
      </c>
      <c r="F10" s="61">
        <v>1</v>
      </c>
      <c r="G10" s="61">
        <v>3</v>
      </c>
      <c r="H10" s="60">
        <v>0.21041666666666667</v>
      </c>
      <c r="I10" s="61">
        <v>13</v>
      </c>
      <c r="J10" s="64" t="s">
        <v>46</v>
      </c>
      <c r="K10" s="62"/>
      <c r="L10" s="62"/>
      <c r="M10" s="62"/>
      <c r="N10" s="62"/>
      <c r="O10" s="35"/>
      <c r="P10" s="35"/>
      <c r="Q10" s="35"/>
    </row>
    <row r="11" spans="1:17" ht="30">
      <c r="A11" s="35"/>
      <c r="B11" s="61" t="s">
        <v>61</v>
      </c>
      <c r="C11" s="61" t="s">
        <v>62</v>
      </c>
      <c r="D11" s="61">
        <v>8</v>
      </c>
      <c r="E11" s="61">
        <v>4</v>
      </c>
      <c r="F11" s="61">
        <v>1</v>
      </c>
      <c r="G11" s="61">
        <v>3</v>
      </c>
      <c r="H11" s="60">
        <v>0.46527777777777773</v>
      </c>
      <c r="I11" s="61">
        <v>13</v>
      </c>
      <c r="J11" s="64" t="s">
        <v>46</v>
      </c>
      <c r="K11" s="62"/>
      <c r="L11" s="62"/>
      <c r="M11" s="62"/>
      <c r="N11" s="62"/>
      <c r="O11" s="35"/>
      <c r="P11" s="35"/>
      <c r="Q11" s="35"/>
    </row>
    <row r="12" spans="1:17">
      <c r="A12" s="35"/>
      <c r="B12" s="61" t="s">
        <v>63</v>
      </c>
      <c r="C12" s="61" t="s">
        <v>64</v>
      </c>
      <c r="D12" s="61">
        <v>7</v>
      </c>
      <c r="E12" s="61">
        <v>3</v>
      </c>
      <c r="F12" s="61">
        <v>2</v>
      </c>
      <c r="G12" s="61">
        <v>2</v>
      </c>
      <c r="H12" s="60">
        <v>0.46527777777777773</v>
      </c>
      <c r="I12" s="61">
        <v>11</v>
      </c>
      <c r="J12" s="64" t="s">
        <v>46</v>
      </c>
      <c r="K12" s="62"/>
      <c r="L12" s="62"/>
      <c r="M12" s="62"/>
      <c r="N12" s="62"/>
      <c r="O12" s="35"/>
      <c r="P12" s="35"/>
      <c r="Q12" s="35"/>
    </row>
    <row r="13" spans="1:17" ht="30">
      <c r="A13" s="35"/>
      <c r="B13" s="61" t="s">
        <v>65</v>
      </c>
      <c r="C13" s="61" t="s">
        <v>66</v>
      </c>
      <c r="D13" s="61">
        <v>8</v>
      </c>
      <c r="E13" s="61">
        <v>4</v>
      </c>
      <c r="F13" s="61">
        <v>2</v>
      </c>
      <c r="G13" s="61">
        <v>2</v>
      </c>
      <c r="H13" s="60">
        <v>0.5083333333333333</v>
      </c>
      <c r="I13" s="61">
        <v>14</v>
      </c>
      <c r="J13" s="64" t="s">
        <v>46</v>
      </c>
      <c r="K13" s="62"/>
      <c r="L13" s="62"/>
      <c r="M13" s="62"/>
      <c r="N13" s="62"/>
      <c r="O13" s="35"/>
      <c r="P13" s="35"/>
      <c r="Q13" s="35"/>
    </row>
    <row r="14" spans="1:17">
      <c r="A14" s="35"/>
      <c r="B14" s="61" t="s">
        <v>67</v>
      </c>
      <c r="C14" s="61" t="s">
        <v>68</v>
      </c>
      <c r="D14" s="61">
        <v>8</v>
      </c>
      <c r="E14" s="61">
        <v>2</v>
      </c>
      <c r="F14" s="61">
        <v>3</v>
      </c>
      <c r="G14" s="61">
        <v>3</v>
      </c>
      <c r="H14" s="60">
        <v>0.38194444444444442</v>
      </c>
      <c r="I14" s="61">
        <v>9</v>
      </c>
      <c r="J14" s="64" t="s">
        <v>46</v>
      </c>
      <c r="K14" s="62"/>
      <c r="L14" s="62"/>
      <c r="M14" s="62"/>
      <c r="N14" s="62"/>
      <c r="O14" s="35"/>
      <c r="P14" s="35"/>
      <c r="Q14" s="35"/>
    </row>
    <row r="15" spans="1:17">
      <c r="A15" s="35"/>
      <c r="B15" s="61" t="s">
        <v>69</v>
      </c>
      <c r="C15" s="61" t="s">
        <v>70</v>
      </c>
      <c r="D15" s="61">
        <v>7</v>
      </c>
      <c r="E15" s="61">
        <v>1</v>
      </c>
      <c r="F15" s="61">
        <v>3</v>
      </c>
      <c r="G15" s="61">
        <v>3</v>
      </c>
      <c r="H15" s="60">
        <v>0.29722222222222222</v>
      </c>
      <c r="I15" s="61">
        <v>6</v>
      </c>
      <c r="J15" s="64" t="s">
        <v>46</v>
      </c>
      <c r="K15" s="62"/>
      <c r="L15" s="62"/>
      <c r="M15" s="62"/>
      <c r="N15" s="62"/>
      <c r="O15" s="35"/>
      <c r="P15" s="35"/>
      <c r="Q15" s="35"/>
    </row>
    <row r="16" spans="1:17" ht="30">
      <c r="A16" s="35"/>
      <c r="B16" s="61" t="s">
        <v>71</v>
      </c>
      <c r="C16" s="61" t="s">
        <v>72</v>
      </c>
      <c r="D16" s="61">
        <v>7</v>
      </c>
      <c r="E16" s="61">
        <v>3</v>
      </c>
      <c r="F16" s="61">
        <v>1</v>
      </c>
      <c r="G16" s="61">
        <v>3</v>
      </c>
      <c r="H16" s="60">
        <v>0.42499999999999999</v>
      </c>
      <c r="I16" s="61">
        <v>10</v>
      </c>
      <c r="J16" s="64" t="s">
        <v>46</v>
      </c>
      <c r="K16" s="62"/>
      <c r="L16" s="62"/>
      <c r="M16" s="62"/>
      <c r="N16" s="62"/>
      <c r="O16" s="35"/>
      <c r="P16" s="35"/>
      <c r="Q16" s="35"/>
    </row>
    <row r="17" spans="1:17">
      <c r="A17" s="35"/>
      <c r="B17" s="61" t="s">
        <v>73</v>
      </c>
      <c r="C17" s="61" t="s">
        <v>74</v>
      </c>
      <c r="D17" s="61">
        <v>8</v>
      </c>
      <c r="E17" s="61">
        <v>2</v>
      </c>
      <c r="F17" s="61">
        <v>2</v>
      </c>
      <c r="G17" s="61">
        <v>4</v>
      </c>
      <c r="H17" s="60">
        <v>0.55208333333333337</v>
      </c>
      <c r="I17" s="61">
        <v>8</v>
      </c>
      <c r="J17" s="64" t="s">
        <v>46</v>
      </c>
      <c r="K17" s="62"/>
      <c r="L17" s="62"/>
      <c r="M17" s="62"/>
      <c r="N17" s="62"/>
      <c r="O17" s="35"/>
      <c r="P17" s="35"/>
      <c r="Q17" s="35"/>
    </row>
    <row r="18" spans="1:17">
      <c r="A18" s="35"/>
      <c r="B18" s="61" t="s">
        <v>75</v>
      </c>
      <c r="C18" s="61" t="s">
        <v>45</v>
      </c>
      <c r="D18" s="61">
        <v>7</v>
      </c>
      <c r="E18" s="61">
        <v>2</v>
      </c>
      <c r="F18" s="61">
        <v>2</v>
      </c>
      <c r="G18" s="61">
        <v>3</v>
      </c>
      <c r="H18" s="60">
        <v>0.25625000000000003</v>
      </c>
      <c r="I18" s="61">
        <v>8</v>
      </c>
      <c r="J18" s="64" t="s">
        <v>46</v>
      </c>
      <c r="K18" s="62"/>
      <c r="L18" s="62"/>
      <c r="M18" s="62"/>
      <c r="N18" s="62"/>
      <c r="O18" s="35"/>
      <c r="P18" s="35"/>
      <c r="Q18" s="35"/>
    </row>
    <row r="19" spans="1:17">
      <c r="A19" s="35"/>
      <c r="B19" s="61" t="s">
        <v>76</v>
      </c>
      <c r="C19" s="61" t="s">
        <v>77</v>
      </c>
      <c r="D19" s="61">
        <v>6</v>
      </c>
      <c r="E19" s="61">
        <v>2</v>
      </c>
      <c r="F19" s="61">
        <v>0</v>
      </c>
      <c r="G19" s="61">
        <v>4</v>
      </c>
      <c r="H19" s="60">
        <v>0.25625000000000003</v>
      </c>
      <c r="I19" s="61">
        <v>6</v>
      </c>
      <c r="J19" s="64" t="s">
        <v>46</v>
      </c>
      <c r="K19" s="62"/>
      <c r="L19" s="62"/>
      <c r="M19" s="62"/>
      <c r="N19" s="62"/>
      <c r="O19" s="35"/>
      <c r="P19" s="35"/>
      <c r="Q19" s="35"/>
    </row>
    <row r="20" spans="1:17" ht="30">
      <c r="A20" s="35"/>
      <c r="B20" s="61" t="s">
        <v>78</v>
      </c>
      <c r="C20" s="61" t="s">
        <v>79</v>
      </c>
      <c r="D20" s="61">
        <v>8</v>
      </c>
      <c r="E20" s="61">
        <v>2</v>
      </c>
      <c r="F20" s="61">
        <v>3</v>
      </c>
      <c r="G20" s="61">
        <v>3</v>
      </c>
      <c r="H20" s="60">
        <v>0.38541666666666669</v>
      </c>
      <c r="I20" s="61">
        <v>9</v>
      </c>
      <c r="J20" s="64" t="s">
        <v>46</v>
      </c>
      <c r="K20" s="62"/>
      <c r="L20" s="62"/>
      <c r="M20" s="62"/>
      <c r="N20" s="62"/>
      <c r="O20" s="35"/>
      <c r="P20" s="35"/>
      <c r="Q20" s="35"/>
    </row>
    <row r="21" spans="1:17">
      <c r="A21" s="35"/>
      <c r="B21" s="61" t="s">
        <v>80</v>
      </c>
      <c r="C21" s="61" t="s">
        <v>81</v>
      </c>
      <c r="D21" s="61">
        <v>8</v>
      </c>
      <c r="E21" s="61">
        <v>0</v>
      </c>
      <c r="F21" s="61">
        <v>3</v>
      </c>
      <c r="G21" s="61">
        <v>5</v>
      </c>
      <c r="H21" s="60">
        <v>0.17569444444444446</v>
      </c>
      <c r="I21" s="61">
        <v>3</v>
      </c>
      <c r="J21" s="64" t="s">
        <v>46</v>
      </c>
      <c r="K21" s="62"/>
      <c r="L21" s="62"/>
      <c r="M21" s="62"/>
      <c r="N21" s="62"/>
      <c r="O21" s="35"/>
      <c r="P21" s="35"/>
      <c r="Q21" s="35"/>
    </row>
    <row r="22" spans="1:17">
      <c r="A22" s="35"/>
      <c r="B22" s="61" t="s">
        <v>82</v>
      </c>
      <c r="C22" s="61" t="s">
        <v>83</v>
      </c>
      <c r="D22" s="61">
        <v>8</v>
      </c>
      <c r="E22" s="61">
        <v>0</v>
      </c>
      <c r="F22" s="61">
        <v>3</v>
      </c>
      <c r="G22" s="61">
        <v>5</v>
      </c>
      <c r="H22" s="60">
        <v>0.13333333333333333</v>
      </c>
      <c r="I22" s="61">
        <v>3</v>
      </c>
      <c r="J22" s="64" t="s">
        <v>46</v>
      </c>
      <c r="K22" s="62"/>
      <c r="L22" s="62"/>
      <c r="M22" s="62"/>
      <c r="N22" s="62"/>
      <c r="O22" s="35"/>
      <c r="P22" s="35"/>
      <c r="Q22" s="35"/>
    </row>
    <row r="23" spans="1:17">
      <c r="A23" s="35"/>
      <c r="B23" s="35"/>
      <c r="C23" s="35"/>
      <c r="D23" s="35"/>
      <c r="E23" s="35"/>
      <c r="F23" s="62"/>
      <c r="G23" s="62"/>
      <c r="H23" s="62"/>
      <c r="I23" s="62"/>
      <c r="J23" s="64"/>
      <c r="K23" s="62"/>
      <c r="L23" s="62"/>
      <c r="M23" s="62"/>
      <c r="N23" s="62"/>
      <c r="O23" s="35"/>
      <c r="P23" s="35"/>
      <c r="Q23" s="35"/>
    </row>
    <row r="24" spans="1:17">
      <c r="A24" s="35"/>
      <c r="B24" s="35"/>
      <c r="C24" s="35"/>
      <c r="D24" s="35"/>
      <c r="E24" s="35"/>
      <c r="F24" s="35"/>
      <c r="G24" s="35"/>
      <c r="H24" s="35"/>
      <c r="I24" s="35"/>
      <c r="K24" s="35"/>
      <c r="M24" s="35"/>
      <c r="O24" s="35"/>
      <c r="P24" s="35"/>
      <c r="Q24" s="35"/>
    </row>
    <row r="25" spans="1:17">
      <c r="A25" s="35"/>
      <c r="B25" s="35"/>
      <c r="C25" s="35"/>
      <c r="D25" s="35"/>
      <c r="E25" s="35"/>
      <c r="F25" s="35"/>
      <c r="G25" s="35"/>
      <c r="H25" s="35"/>
      <c r="I25" s="35"/>
      <c r="K25" s="35"/>
      <c r="M25" s="35"/>
      <c r="O25" s="35"/>
      <c r="P25" s="35"/>
      <c r="Q25" s="35"/>
    </row>
    <row r="26" spans="1:17">
      <c r="A26" s="35"/>
      <c r="B26" s="35"/>
      <c r="C26" s="35"/>
      <c r="D26" s="35"/>
      <c r="E26" s="35"/>
      <c r="F26" s="35"/>
      <c r="G26" s="35"/>
      <c r="H26" s="35"/>
      <c r="I26" s="35"/>
      <c r="K26" s="35"/>
      <c r="M26" s="35"/>
      <c r="O26" s="35"/>
      <c r="P26" s="35"/>
      <c r="Q26" s="35"/>
    </row>
    <row r="27" spans="1:17">
      <c r="A27" s="35"/>
      <c r="B27" s="35"/>
      <c r="C27" s="35"/>
      <c r="D27" s="35"/>
      <c r="E27" s="35"/>
      <c r="F27" s="35"/>
      <c r="G27" s="35"/>
      <c r="H27" s="35"/>
      <c r="I27" s="35"/>
      <c r="K27" s="35"/>
      <c r="M27" s="35"/>
      <c r="O27" s="35"/>
      <c r="P27" s="35"/>
      <c r="Q27" s="35"/>
    </row>
    <row r="28" spans="1:17">
      <c r="A28" s="35"/>
      <c r="B28" s="35"/>
      <c r="C28" s="35"/>
      <c r="D28" s="35"/>
      <c r="E28" s="35"/>
      <c r="F28" s="35"/>
      <c r="G28" s="35"/>
      <c r="H28" s="35"/>
      <c r="I28" s="35"/>
      <c r="K28" s="35"/>
      <c r="M28" s="35"/>
      <c r="O28" s="35"/>
      <c r="P28" s="35"/>
      <c r="Q28" s="35"/>
    </row>
    <row r="29" spans="1:17">
      <c r="A29" s="35"/>
      <c r="B29" s="35"/>
      <c r="C29" s="35"/>
      <c r="D29" s="35"/>
      <c r="E29" s="35"/>
      <c r="F29" s="35"/>
      <c r="G29" s="35"/>
      <c r="H29" s="35"/>
      <c r="I29" s="35"/>
      <c r="K29" s="35"/>
      <c r="M29" s="35"/>
      <c r="O29" s="35"/>
      <c r="P29" s="35"/>
      <c r="Q29" s="35"/>
    </row>
    <row r="30" spans="1:17">
      <c r="A30" s="35"/>
      <c r="B30" s="35"/>
      <c r="C30" s="35"/>
      <c r="D30" s="35"/>
      <c r="E30" s="35"/>
      <c r="F30" s="35"/>
      <c r="G30" s="35"/>
      <c r="H30" s="35"/>
      <c r="I30" s="35"/>
      <c r="K30" s="35"/>
      <c r="M30" s="35"/>
      <c r="O30" s="35"/>
      <c r="P30" s="35"/>
      <c r="Q30" s="35"/>
    </row>
    <row r="31" spans="1:17">
      <c r="A31" s="35"/>
      <c r="B31" s="35"/>
      <c r="C31" s="35"/>
      <c r="D31" s="35"/>
      <c r="E31" s="35"/>
      <c r="F31" s="35"/>
      <c r="G31" s="35"/>
      <c r="H31" s="35"/>
      <c r="I31" s="35"/>
      <c r="K31" s="35"/>
      <c r="M31" s="35"/>
      <c r="O31" s="35"/>
      <c r="P31" s="35"/>
      <c r="Q31" s="35"/>
    </row>
    <row r="32" spans="1:17">
      <c r="A32" s="35"/>
      <c r="B32" s="35"/>
      <c r="C32" s="35"/>
      <c r="D32" s="35"/>
      <c r="E32" s="35"/>
      <c r="F32" s="35"/>
      <c r="G32" s="35"/>
      <c r="H32" s="35"/>
      <c r="I32" s="35"/>
      <c r="K32" s="35"/>
      <c r="M32" s="35"/>
      <c r="O32" s="35"/>
      <c r="P32" s="35"/>
      <c r="Q32" s="35"/>
    </row>
    <row r="33" spans="1:17">
      <c r="A33" s="35"/>
      <c r="B33" s="35"/>
      <c r="C33" s="35"/>
      <c r="D33" s="35"/>
      <c r="E33" s="35"/>
      <c r="F33" s="35"/>
      <c r="G33" s="35"/>
      <c r="H33" s="35"/>
      <c r="I33" s="35"/>
      <c r="K33" s="35"/>
      <c r="M33" s="35"/>
      <c r="O33" s="35"/>
      <c r="P33" s="35"/>
      <c r="Q33" s="35"/>
    </row>
    <row r="34" spans="1:17">
      <c r="A34" s="35"/>
      <c r="B34" s="35"/>
      <c r="C34" s="35"/>
      <c r="D34" s="35"/>
      <c r="E34" s="35"/>
      <c r="F34" s="35"/>
      <c r="G34" s="35"/>
      <c r="H34" s="35"/>
      <c r="I34" s="35"/>
      <c r="K34" s="35"/>
      <c r="M34" s="35"/>
      <c r="O34" s="35"/>
      <c r="P34" s="35"/>
      <c r="Q34" s="35"/>
    </row>
    <row r="35" spans="1:17">
      <c r="A35" s="35"/>
      <c r="B35" s="35"/>
      <c r="C35" s="35"/>
      <c r="D35" s="35"/>
      <c r="E35" s="35"/>
      <c r="F35" s="35"/>
      <c r="G35" s="35"/>
      <c r="H35" s="35"/>
      <c r="I35" s="35"/>
      <c r="K35" s="35"/>
      <c r="M35" s="35"/>
      <c r="O35" s="35"/>
      <c r="P35" s="35"/>
      <c r="Q35" s="35"/>
    </row>
    <row r="36" spans="1:17">
      <c r="A36" s="35"/>
      <c r="B36" s="35"/>
      <c r="C36" s="35"/>
      <c r="D36" s="35"/>
      <c r="E36" s="35"/>
      <c r="F36" s="35"/>
      <c r="G36" s="35"/>
      <c r="H36" s="35"/>
      <c r="I36" s="35"/>
      <c r="K36" s="35"/>
      <c r="M36" s="35"/>
      <c r="O36" s="35"/>
      <c r="P36" s="35"/>
      <c r="Q36" s="35"/>
    </row>
    <row r="37" spans="1:17">
      <c r="A37" s="35"/>
      <c r="B37" s="35"/>
      <c r="C37" s="35"/>
      <c r="D37" s="35"/>
      <c r="E37" s="35"/>
      <c r="F37" s="35"/>
      <c r="G37" s="35"/>
      <c r="H37" s="35"/>
      <c r="I37" s="35"/>
      <c r="K37" s="35"/>
      <c r="M37" s="35"/>
      <c r="O37" s="35"/>
      <c r="P37" s="35"/>
      <c r="Q37" s="35"/>
    </row>
    <row r="38" spans="1:17">
      <c r="A38" s="35"/>
      <c r="B38" s="35"/>
      <c r="C38" s="35"/>
      <c r="D38" s="35"/>
      <c r="E38" s="35"/>
      <c r="F38" s="35"/>
      <c r="G38" s="35"/>
      <c r="H38" s="35"/>
      <c r="I38" s="35"/>
      <c r="K38" s="35"/>
      <c r="M38" s="35"/>
      <c r="O38" s="35"/>
      <c r="P38" s="35"/>
      <c r="Q38" s="35"/>
    </row>
    <row r="39" spans="1:17">
      <c r="A39" s="35"/>
      <c r="B39" s="35"/>
      <c r="C39" s="35"/>
      <c r="D39" s="35"/>
      <c r="E39" s="35"/>
      <c r="F39" s="35"/>
      <c r="G39" s="35"/>
      <c r="H39" s="35"/>
      <c r="I39" s="35"/>
      <c r="K39" s="35"/>
      <c r="M39" s="35"/>
      <c r="O39" s="35"/>
      <c r="P39" s="35"/>
      <c r="Q39" s="35"/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2018-05-31T19:37:25Z</dcterms:modified>
</cp:coreProperties>
</file>