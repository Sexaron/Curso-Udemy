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AB21" i="1"/>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C20" l="1"/>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<sst xmlns="http://schemas.openxmlformats.org/spreadsheetml/2006/main" count="151" uniqueCount="106">
  <si>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</si>
  <si>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</si>
  <si>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</si>
  <si>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</si>
  <si>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</si>
  <si>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</si>
  <si>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</si>
  <si>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</si>
  <si>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</si>
  <si>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</si>
  <si>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</si>
  <si>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</si>
  <si>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</si>
  <si>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</si>
  <si>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</si>
  <si>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</si>
  <si>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</si>
  <si>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</si>
  <si>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</si>
  <si>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</si>
  <si>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</si>
  <si>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</si>
  <si>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</si>
  <si>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</si>
  <si>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</si>
  <si>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</si>
  <si>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</si>
  <si>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</si>
  <si>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</si>
  <si>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</si>
  <si>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</si>
  <si>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</si>
  <si>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</si>
  <si>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</si>
  <si>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</si>
  <si>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</si>
  <si>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</si>
  <si>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</si>
  <si>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</si>
  <si>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</si>
  <si>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</si>
  <si>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</si>
  <si>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</si>
  <si>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</si>
  <si>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</si>
  <si>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</si>
  <si>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</si>
  <si>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</si>
  <si>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</si>
  <si>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</si>
  <si>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</si>
  <si>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</si>
  <si>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</si>
  <si>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</si>
  <si>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</si>
  <si>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</si>
  <si>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</si>
  <si>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</si>
  <si>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</si>
  <si>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</si>
  <si>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</si>
  <si>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</si>
  <si>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</si>
  <si>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</si>
  <si>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</si>
  <si>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</si>
  <si>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</si>
  <si>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</si>
  <si>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</si>
  <si>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</si>
  <si>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</si>
  <si>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</si>
  <si>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</si>
  <si>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</si>
  <si>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</si>
  <si>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</si>
  <si>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</si>
  <si>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</si>
  <si>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</si>
  <si>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</si>
  <si>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</si>
  <si>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</si>
  <si>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</si>
  <si>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</si>
  <si>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</si>
  <si>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</si>
  <si>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</si>
  <si>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</si>
  <si>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</si>
  <si>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</si>
  <si>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</si>
  <si>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</si>
  <si>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</si>
  <si>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</si>
  <si>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</si>
  <si>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</si>
  <si>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</si>
  <si>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1-1</t>
  </si>
  <si>
    <t>SI</t>
  </si>
  <si>
    <t>NO</t>
  </si>
  <si>
    <t>Vict. LCL o empate</t>
  </si>
  <si>
    <t>Vict. VST o empate</t>
  </si>
  <si>
    <t>Hungría División 1</t>
  </si>
  <si>
    <t>Diosgyor VTK</t>
  </si>
  <si>
    <t>Videoton</t>
  </si>
  <si>
    <t>1-2</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</si>
</sst>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6" sqref="AB16:AC16"/>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29</v>
      </c>
    </row>
    <row r="3" spans="1:33" ht="15.75" thickBot="1">
      <c r="F3" s="167" t="str">
        <f>Cálculos!I4</f>
        <v>Diosgyor VTK</v>
      </c>
      <c r="G3" s="165"/>
      <c r="H3" s="165"/>
      <c r="I3" s="169"/>
      <c r="J3" s="165" t="str">
        <f>Cálculos!M4</f>
        <v>Videoton</v>
      </c>
      <c r="K3" s="165"/>
      <c r="L3" s="166"/>
    </row>
    <row r="4" spans="1:33" ht="15.75" thickBot="1">
      <c r="G4" s="159" t="str">
        <f>Cálculos!J5</f>
        <v>Hungría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0.70550845130982198</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1.6666666666666667</v>
      </c>
      <c r="V9"/>
      <c r="W9" s="147" t="s">
        <v>2</v>
      </c>
      <c r="X9" s="148"/>
      <c r="Y9" s="11" t="s">
        <v>4</v>
      </c>
      <c r="Z9" s="86">
        <f>Cálculos!J35</f>
        <v>1.9333333333333333</v>
      </c>
      <c r="AA9"/>
      <c r="AB9" s="109" t="s">
        <v>90</v>
      </c>
      <c r="AC9" s="107">
        <f>SUM(D10:D12,E11,E10,F10)</f>
        <v>0.29446159516402048</v>
      </c>
    </row>
    <row r="10" spans="1:33" ht="15.75" customHeight="1" thickBot="1">
      <c r="B10" s="151" t="s">
        <v>80</v>
      </c>
      <c r="C10" s="94">
        <v>0</v>
      </c>
      <c r="D10" s="102">
        <f>Cálculos!L11*Cálculos!M11</f>
        <v>2.6061609698472959E-2</v>
      </c>
      <c r="E10" s="96">
        <f>Cálculos!M12*Cálculos!L11</f>
        <v>6.0545196996376248E-2</v>
      </c>
      <c r="F10" s="77">
        <f>Cálculos!M13*Cálculos!L11</f>
        <v>7.0327982840307723E-2</v>
      </c>
      <c r="G10" s="77">
        <f>Cálculos!M14*Cálculos!L11</f>
        <v>5.4460969278676753E-2</v>
      </c>
      <c r="H10" s="77">
        <f>Cálculos!M15*Cálculos!L11</f>
        <v>3.1630338184600724E-2</v>
      </c>
      <c r="I10" s="77">
        <f>Cálculos!M16*Cálculos!L11</f>
        <v>1.4696444913461067E-2</v>
      </c>
      <c r="J10" s="77">
        <f>Cálculos!M17*Cálculos!L11</f>
        <v>5.6903568296220045E-3</v>
      </c>
      <c r="K10" s="77">
        <f>Cálculos!M18*Cálculos!L11</f>
        <v>1.8885127490216064E-3</v>
      </c>
      <c r="L10" s="77">
        <f>Cálculos!M19*Cálculos!L11</f>
        <v>5.4841382469547162E-4</v>
      </c>
      <c r="M10" s="77">
        <f>Cálculos!M20*Cálculos!L11</f>
        <v>1.4156123566802896E-4</v>
      </c>
      <c r="N10" s="84">
        <f>Cálculos!M21*Cálculos!L11</f>
        <v>3.2886889949370453E-5</v>
      </c>
      <c r="R10" s="149" t="s">
        <v>3</v>
      </c>
      <c r="S10" s="150"/>
      <c r="T10" s="12" t="s">
        <v>4</v>
      </c>
      <c r="U10" s="87">
        <f>Cálculos!E36</f>
        <v>1.5333333333333334</v>
      </c>
      <c r="V10"/>
      <c r="W10" s="149" t="s">
        <v>3</v>
      </c>
      <c r="X10" s="150"/>
      <c r="Y10" s="12" t="s">
        <v>4</v>
      </c>
      <c r="Z10" s="87">
        <f>Cálculos!J36</f>
        <v>1.2</v>
      </c>
      <c r="AA10"/>
    </row>
    <row r="11" spans="1:33" ht="15.75" thickBot="1">
      <c r="B11" s="152"/>
      <c r="C11" s="66">
        <v>1</v>
      </c>
      <c r="D11" s="99">
        <f>Cálculos!L12*Cálculos!M11</f>
        <v>3.4509165945564191E-2</v>
      </c>
      <c r="E11" s="103">
        <f>Cálculos!L12*Cálculos!M12</f>
        <v>8.0170191884856828E-2</v>
      </c>
      <c r="F11" s="97">
        <f>Cálculos!L12*Cálculos!M13</f>
        <v>9.3123949691993682E-2</v>
      </c>
      <c r="G11" s="80">
        <f>Cálculos!L12*Cálculos!M14</f>
        <v>7.2113835182799568E-2</v>
      </c>
      <c r="H11" s="80">
        <f>Cálculos!L12*Cálculos!M15</f>
        <v>4.1882930561678203E-2</v>
      </c>
      <c r="I11" s="80">
        <f>Cálculos!L12*Cálculos!M16</f>
        <v>1.9460120161272586E-2</v>
      </c>
      <c r="J11" s="80">
        <f>Cálculos!L12*Cálculos!M17</f>
        <v>7.5348173192236207E-3</v>
      </c>
      <c r="K11" s="80">
        <f>Cálculos!L12*Cálculos!M18</f>
        <v>2.5006513642217136E-3</v>
      </c>
      <c r="L11" s="80">
        <f>Cálculos!L12*Cálculos!M19</f>
        <v>7.2617554718296931E-4</v>
      </c>
      <c r="M11" s="80">
        <f>Cálculos!L12*Cálculos!M20</f>
        <v>1.8744660171214872E-4</v>
      </c>
      <c r="N11" s="81">
        <f>Cálculos!L12*Cálculos!M21</f>
        <v>4.3546778415718113E-5</v>
      </c>
      <c r="S11"/>
      <c r="T11"/>
      <c r="U11"/>
      <c r="V11"/>
      <c r="W11"/>
      <c r="X11"/>
      <c r="Y11"/>
      <c r="Z11"/>
      <c r="AA11"/>
      <c r="AB11" s="119" t="s">
        <v>91</v>
      </c>
      <c r="AC11" s="120"/>
    </row>
    <row r="12" spans="1:33" ht="15.75" customHeight="1" thickBot="1">
      <c r="B12" s="152"/>
      <c r="C12" s="66">
        <v>2</v>
      </c>
      <c r="D12" s="76">
        <f>Cálculos!L13*Cálculos!M11</f>
        <v>2.28474477984425E-2</v>
      </c>
      <c r="E12" s="100">
        <f>Cálculos!L13*Cálculos!M12</f>
        <v>5.3078196006525899E-2</v>
      </c>
      <c r="F12" s="103">
        <f>Cálculos!L13*Cálculos!M13</f>
        <v>6.1654477037457883E-2</v>
      </c>
      <c r="G12" s="97">
        <f>Cálculos!L13*Cálculos!M14</f>
        <v>4.7744332258956954E-2</v>
      </c>
      <c r="H12" s="80">
        <f>Cálculos!L13*Cálculos!M15</f>
        <v>2.7729388509800737E-2</v>
      </c>
      <c r="I12" s="80">
        <f>Cálculos!L13*Cálculos!M16</f>
        <v>1.2883941624014954E-2</v>
      </c>
      <c r="J12" s="80">
        <f>Cálculos!L13*Cálculos!M17</f>
        <v>4.9885687078997758E-3</v>
      </c>
      <c r="K12" s="80">
        <f>Cálculos!L13*Cálculos!M18</f>
        <v>1.655603661829548E-3</v>
      </c>
      <c r="L12" s="80">
        <f>Cálculos!L13*Cálculos!M19</f>
        <v>4.8077829330734516E-4</v>
      </c>
      <c r="M12" s="80">
        <f>Cálculos!L13*Cálculos!M20</f>
        <v>1.2410257768528466E-4</v>
      </c>
      <c r="N12" s="81">
        <f>Cálculos!L13*Cálculos!M21</f>
        <v>2.8830970537303024E-5</v>
      </c>
      <c r="R12" s="145" t="s">
        <v>28</v>
      </c>
      <c r="S12" s="143" t="s">
        <v>7</v>
      </c>
      <c r="T12" s="143"/>
      <c r="U12" s="143"/>
      <c r="V12" s="143"/>
      <c r="W12" s="143"/>
      <c r="X12" s="143"/>
      <c r="Y12" s="144"/>
      <c r="Z12"/>
      <c r="AA12"/>
      <c r="AB12" s="115" t="s">
        <v>98</v>
      </c>
      <c r="AC12" s="116" t="s">
        <v>99</v>
      </c>
    </row>
    <row r="13" spans="1:33" ht="15.75" customHeight="1" thickBot="1">
      <c r="B13" s="152"/>
      <c r="C13" s="66">
        <v>3</v>
      </c>
      <c r="D13" s="76">
        <f>Cálculos!L14*Cálculos!M11</f>
        <v>1.0084390752416E-2</v>
      </c>
      <c r="E13" s="78">
        <f>Cálculos!L14*Cálculos!M12</f>
        <v>2.3427617547707981E-2</v>
      </c>
      <c r="F13" s="100">
        <f>Cálculos!L14*Cálculos!M13</f>
        <v>2.7213010554464168E-2</v>
      </c>
      <c r="G13" s="103">
        <f>Cálculos!L14*Cálculos!M14</f>
        <v>2.1073360445332725E-2</v>
      </c>
      <c r="H13" s="97">
        <f>Cálculos!L14*Cálculos!M15</f>
        <v>1.2239178376739636E-2</v>
      </c>
      <c r="I13" s="80">
        <f>Cálculos!L14*Cálculos!M16</f>
        <v>5.6867052685307378E-3</v>
      </c>
      <c r="J13" s="80">
        <f>Cálculos!L14*Cálculos!M17</f>
        <v>2.2018510159005906E-3</v>
      </c>
      <c r="K13" s="80">
        <f>Cálculos!L14*Cálculos!M18</f>
        <v>7.3074920246269705E-4</v>
      </c>
      <c r="L13" s="80">
        <f>Cálculos!L14*Cálculos!M19</f>
        <v>2.1220559152875925E-4</v>
      </c>
      <c r="M13" s="80">
        <f>Cálculos!L14*Cálculos!M20</f>
        <v>5.4776310150746332E-5</v>
      </c>
      <c r="N13" s="81">
        <f>Cálculos!L14*Cálculos!M21</f>
        <v>1.2725393892326853E-5</v>
      </c>
      <c r="O13" s="32"/>
      <c r="R13" s="146"/>
      <c r="S13" s="104">
        <v>0</v>
      </c>
      <c r="T13" s="104">
        <v>1</v>
      </c>
      <c r="U13" s="104">
        <v>2</v>
      </c>
      <c r="V13" s="104">
        <v>3</v>
      </c>
      <c r="W13" s="104">
        <v>4</v>
      </c>
      <c r="X13" s="104">
        <v>5</v>
      </c>
      <c r="Y13" s="105">
        <v>6</v>
      </c>
      <c r="Z13"/>
      <c r="AA13" s="33"/>
      <c r="AB13" s="117">
        <f>SUM(E11:N20)</f>
        <v>0.66204328071819507</v>
      </c>
      <c r="AC13" s="107">
        <f>SUM(D10:D20,E10:N10)</f>
        <v>0.33792676575564706</v>
      </c>
    </row>
    <row r="14" spans="1:33" ht="15.75" customHeight="1" thickBot="1">
      <c r="B14" s="152"/>
      <c r="C14" s="66">
        <v>4</v>
      </c>
      <c r="D14" s="76">
        <f>Cálculos!L15*Cálculos!M11</f>
        <v>3.3382810766618477E-3</v>
      </c>
      <c r="E14" s="78">
        <f>Cálculos!L15*Cálculos!M12</f>
        <v>7.7553492571722964E-3</v>
      </c>
      <c r="F14" s="78">
        <f>Cálculos!L15*Cálculos!M13</f>
        <v>9.0084448732019318E-3</v>
      </c>
      <c r="G14" s="100">
        <f>Cálculos!L15*Cálculos!M14</f>
        <v>6.976008975006694E-3</v>
      </c>
      <c r="H14" s="103">
        <f>Cálculos!L15*Cálculos!M15</f>
        <v>4.0515900833344998E-3</v>
      </c>
      <c r="I14" s="97">
        <f>Cálculos!L15*Cálculos!M16</f>
        <v>1.8824955371687956E-3</v>
      </c>
      <c r="J14" s="80">
        <f>Cálculos!L15*Cálculos!M17</f>
        <v>7.2888861216019549E-4</v>
      </c>
      <c r="K14" s="80">
        <f>Cálculos!L15*Cálculos!M18</f>
        <v>2.4190318426351351E-4</v>
      </c>
      <c r="L14" s="80">
        <f>Cálculos!L15*Cálculos!M19</f>
        <v>7.0247368230209948E-5</v>
      </c>
      <c r="M14" s="80">
        <f>Cálculos!L15*Cálculos!M20</f>
        <v>1.8132847498178093E-5</v>
      </c>
      <c r="N14" s="81">
        <f>Cálculos!L15*Cálculos!M21</f>
        <v>4.2125441850461298E-6</v>
      </c>
      <c r="O14" s="33"/>
      <c r="R14" s="24" t="s">
        <v>8</v>
      </c>
      <c r="S14" s="46">
        <f>Cálculos!L11</f>
        <v>0.26603243531772486</v>
      </c>
      <c r="T14" s="47">
        <f>Cálculos!L12</f>
        <v>0.35226363848967707</v>
      </c>
      <c r="U14" s="47">
        <f>Cálculos!L13</f>
        <v>0.23322282272419997</v>
      </c>
      <c r="V14" s="47">
        <f>Cálculos!L14</f>
        <v>0.10293972865068136</v>
      </c>
      <c r="W14" s="47">
        <f>Cálculos!L15</f>
        <v>3.4076599829191069E-2</v>
      </c>
      <c r="X14" s="47">
        <f>Cálculos!L16</f>
        <v>9.0244236789030156E-3</v>
      </c>
      <c r="Y14" s="48">
        <f>Cálculos!L17</f>
        <v>1.9915969498268725E-3</v>
      </c>
      <c r="Z14"/>
      <c r="AA14"/>
    </row>
    <row r="15" spans="1:33" ht="15.75" thickBot="1">
      <c r="B15" s="152"/>
      <c r="C15" s="66">
        <v>5</v>
      </c>
      <c r="D15" s="76">
        <f>Cálculos!L16*Cálculos!M11</f>
        <v>8.8406891961251711E-4</v>
      </c>
      <c r="E15" s="78">
        <f>Cálculos!L16*Cálculos!M12</f>
        <v>2.0538304239683877E-3</v>
      </c>
      <c r="F15" s="78">
        <f>Cálculos!L16*Cálculos!M13</f>
        <v>2.3856847112479602E-3</v>
      </c>
      <c r="G15" s="78">
        <f>Cálculos!L16*Cálculos!M14</f>
        <v>1.8474396182086696E-3</v>
      </c>
      <c r="H15" s="100">
        <f>Cálculos!L16*Cálculos!M15</f>
        <v>1.0729728220692746E-3</v>
      </c>
      <c r="I15" s="103">
        <f>Cálculos!L16*Cálculos!M16</f>
        <v>4.9853674915366732E-4</v>
      </c>
      <c r="J15" s="97">
        <f>Cálculos!L16*Cálculos!M17</f>
        <v>1.9302981177207938E-4</v>
      </c>
      <c r="K15" s="80">
        <f>Cálculos!L16*Cálculos!M18</f>
        <v>6.4062636384268413E-5</v>
      </c>
      <c r="L15" s="80">
        <f>Cálculos!L16*Cálculos!M19</f>
        <v>1.8603440965793534E-5</v>
      </c>
      <c r="M15" s="80">
        <f>Cálculos!L16*Cálculos!M20</f>
        <v>4.8020782340002683E-6</v>
      </c>
      <c r="N15" s="81">
        <f>Cálculos!L16*Cálculos!M21</f>
        <v>1.115597908315665E-6</v>
      </c>
      <c r="O15" s="33"/>
      <c r="R15" s="25" t="s">
        <v>9</v>
      </c>
      <c r="S15" s="49">
        <f>Cálculos!M11</f>
        <v>9.7964030842131525E-2</v>
      </c>
      <c r="T15" s="50">
        <f>Cálculos!M12</f>
        <v>0.22758577135177743</v>
      </c>
      <c r="U15" s="50">
        <f>Cálculos!M13</f>
        <v>0.26435867775414079</v>
      </c>
      <c r="V15" s="50">
        <f>Cálculos!M14</f>
        <v>0.20471552355498887</v>
      </c>
      <c r="W15" s="50">
        <f>Cálculos!M15</f>
        <v>0.11889654788456278</v>
      </c>
      <c r="X15" s="50">
        <f>Cálculos!M16</f>
        <v>5.5243056719414589E-2</v>
      </c>
      <c r="Y15" s="51">
        <f>Cálculos!M17</f>
        <v>2.1389710705109932E-2</v>
      </c>
      <c r="Z15"/>
      <c r="AA15" s="33"/>
      <c r="AB15" s="125" t="s">
        <v>86</v>
      </c>
      <c r="AC15" s="126"/>
    </row>
    <row r="16" spans="1:33" ht="15.75" thickBot="1">
      <c r="B16" s="152"/>
      <c r="C16" s="66">
        <v>6</v>
      </c>
      <c r="D16" s="76">
        <f>Cálculos!L17*Cálculos!M11</f>
        <v>1.9510486501793481E-4</v>
      </c>
      <c r="E16" s="78">
        <f>Cálculos!L17*Cálculos!M12</f>
        <v>4.5325912804819598E-4</v>
      </c>
      <c r="F16" s="78">
        <f>Cálculos!L17*Cálculos!M13</f>
        <v>5.2649593627541189E-4</v>
      </c>
      <c r="G16" s="78">
        <f>Cálculos!L17*Cálculos!M14</f>
        <v>4.0771081229432711E-4</v>
      </c>
      <c r="H16" s="78">
        <f>Cálculos!L17*Cálculos!M15</f>
        <v>2.3679400211183991E-4</v>
      </c>
      <c r="I16" s="100">
        <f>Cálculos!L17*Cálculos!M16</f>
        <v>1.1002190326149901E-4</v>
      </c>
      <c r="J16" s="103">
        <f>Cálculos!L17*Cálculos!M17</f>
        <v>4.2599682597976145E-5</v>
      </c>
      <c r="K16" s="97">
        <f>Cálculos!L17*Cálculos!M18</f>
        <v>1.4137961133079926E-5</v>
      </c>
      <c r="L16" s="80">
        <f>Cálculos!L17*Cálculos!M19</f>
        <v>4.1055869717613323E-6</v>
      </c>
      <c r="M16" s="80">
        <f>Cálculos!L17*Cálculos!M20</f>
        <v>1.0597689895724732E-6</v>
      </c>
      <c r="N16" s="81">
        <f>Cálculos!L17*Cálculos!M21</f>
        <v>2.4620091769725022E-7</v>
      </c>
      <c r="O16" s="33"/>
      <c r="S16"/>
      <c r="T16"/>
      <c r="U16"/>
      <c r="V16"/>
      <c r="W16"/>
      <c r="X16"/>
      <c r="Y16"/>
      <c r="Z16"/>
      <c r="AA16"/>
      <c r="AB16" s="123" t="s">
        <v>105</v>
      </c>
      <c r="AC16" s="124"/>
    </row>
    <row r="17" spans="1:33" ht="15.75" customHeight="1" thickBot="1">
      <c r="B17" s="152"/>
      <c r="C17" s="66">
        <v>7</v>
      </c>
      <c r="D17" s="76">
        <f>Cálculos!L18*Cálculos!M11</f>
        <v>3.6906536042801457E-5</v>
      </c>
      <c r="E17" s="78">
        <f>Cálculos!L18*Cálculos!M12</f>
        <v>8.5739657719461699E-5</v>
      </c>
      <c r="F17" s="78">
        <f>Cálculos!L18*Cálculos!M13</f>
        <v>9.959331996539811E-5</v>
      </c>
      <c r="G17" s="78">
        <f>Cálculos!L18*Cálculos!M14</f>
        <v>7.7123621635971228E-5</v>
      </c>
      <c r="H17" s="78">
        <f>Cálculos!L18*Cálculos!M15</f>
        <v>4.4792560005392374E-5</v>
      </c>
      <c r="I17" s="78">
        <f>Cálculos!L18*Cálculos!M16</f>
        <v>2.0812025050451042E-5</v>
      </c>
      <c r="J17" s="100">
        <f>Cálculos!L18*Cálculos!M17</f>
        <v>8.058265082572827E-6</v>
      </c>
      <c r="K17" s="103">
        <f>Cálculos!L18*Cálculos!M18</f>
        <v>2.6743729434003408E-6</v>
      </c>
      <c r="L17" s="97">
        <f>Cálculos!L18*Cálculos!M19</f>
        <v>7.766233483528825E-7</v>
      </c>
      <c r="M17" s="80">
        <f>Cálculos!L18*Cálculos!M20</f>
        <v>2.0046861674671413E-7</v>
      </c>
      <c r="N17" s="81">
        <f>Cálculos!L18*Cálculos!M21</f>
        <v>4.6571996254061121E-8</v>
      </c>
      <c r="R17" s="136"/>
      <c r="S17" s="137"/>
      <c r="T17" s="88" t="s">
        <v>88</v>
      </c>
      <c r="U17" s="89" t="s">
        <v>87</v>
      </c>
      <c r="V17"/>
      <c r="Y17"/>
      <c r="AB17" s="121" t="s">
        <v>97</v>
      </c>
      <c r="AC17" s="122"/>
    </row>
    <row r="18" spans="1:33" ht="15.75" thickBot="1">
      <c r="B18" s="152"/>
      <c r="C18" s="66">
        <v>8</v>
      </c>
      <c r="D18" s="76">
        <f>Cálculos!L19*Cálculos!M11</f>
        <v>6.1086680346705862E-6</v>
      </c>
      <c r="E18" s="78">
        <f>Cálculos!L19*Cálculos!M12</f>
        <v>1.4191391622531591E-5</v>
      </c>
      <c r="F18" s="78">
        <f>Cálculos!L19*Cálculos!M13</f>
        <v>1.6484411580479686E-5</v>
      </c>
      <c r="G18" s="78">
        <f>Cálculos!L19*Cálculos!M14</f>
        <v>1.2765289098367652E-5</v>
      </c>
      <c r="H18" s="78">
        <f>Cálculos!L19*Cálculos!M15</f>
        <v>7.4139409664097725E-6</v>
      </c>
      <c r="I18" s="78">
        <f>Cálculos!L19*Cálculos!M16</f>
        <v>3.4447489738677589E-6</v>
      </c>
      <c r="J18" s="78">
        <f>Cálculos!L19*Cálculos!M17</f>
        <v>1.3337818067706747E-6</v>
      </c>
      <c r="K18" s="100">
        <f>Cálculos!L19*Cálculos!M18</f>
        <v>4.4265483201109085E-7</v>
      </c>
      <c r="L18" s="103">
        <f>Cálculos!L19*Cálculos!M19</f>
        <v>1.2854455421013227E-7</v>
      </c>
      <c r="M18" s="97">
        <f>Cálculos!L19*Cálculos!M20</f>
        <v>3.3181012427042336E-8</v>
      </c>
      <c r="N18" s="81">
        <f>Cálculos!L19*Cálculos!M21</f>
        <v>7.7084683454997717E-9</v>
      </c>
      <c r="R18" s="134" t="s">
        <v>27</v>
      </c>
      <c r="S18" s="135"/>
      <c r="T18" s="90">
        <f>Cálculos!C39</f>
        <v>1.103448275862069</v>
      </c>
      <c r="U18" s="91">
        <f>Cálculos!D39</f>
        <v>1.5151020408163265</v>
      </c>
      <c r="V18"/>
      <c r="Y18"/>
    </row>
    <row r="19" spans="1:33" ht="15.75" thickBot="1">
      <c r="B19" s="152"/>
      <c r="C19" s="66">
        <v>9</v>
      </c>
      <c r="D19" s="76">
        <f>Cálculos!L20*Cálculos!M11</f>
        <v>8.9874656142279892E-7</v>
      </c>
      <c r="E19" s="78">
        <f>Cálculos!L20*Cálculos!M12</f>
        <v>2.0879288823954525E-6</v>
      </c>
      <c r="F19" s="78">
        <f>Cálculos!L20*Cálculos!M13</f>
        <v>2.4252927382774711E-6</v>
      </c>
      <c r="G19" s="78">
        <f>Cálculos!L20*Cálculos!M14</f>
        <v>1.8781114995299533E-6</v>
      </c>
      <c r="H19" s="78">
        <f>Cálculos!L20*Cálculos!M15</f>
        <v>1.09078671689707E-6</v>
      </c>
      <c r="I19" s="78">
        <f>Cálculos!L20*Cálculos!M16</f>
        <v>5.0681364213226801E-7</v>
      </c>
      <c r="J19" s="78">
        <f>Cálculos!L20*Cálculos!M17</f>
        <v>1.9623456467430616E-7</v>
      </c>
      <c r="K19" s="78">
        <f>Cálculos!L20*Cálculos!M18</f>
        <v>6.5126228157953596E-8</v>
      </c>
      <c r="L19" s="100">
        <f>Cálculos!L20*Cálculos!M19</f>
        <v>1.8912302228617162E-8</v>
      </c>
      <c r="M19" s="103">
        <f>Cálculos!L20*Cálculos!M20</f>
        <v>4.8818041271970334E-9</v>
      </c>
      <c r="N19" s="98">
        <f>Cálculos!L20*Cálculos!M21</f>
        <v>1.1341194807172077E-9</v>
      </c>
      <c r="R19" s="134" t="s">
        <v>77</v>
      </c>
      <c r="S19" s="135"/>
      <c r="T19" s="90">
        <f>Cálculos!C40</f>
        <v>1.2016326530612245</v>
      </c>
      <c r="U19" s="91">
        <f>Cálculos!D40</f>
        <v>0.79448275862068962</v>
      </c>
      <c r="V19"/>
      <c r="Y19"/>
      <c r="Z19"/>
      <c r="AA19" s="133" t="s">
        <v>100</v>
      </c>
      <c r="AB19" s="131"/>
      <c r="AC19" s="131" t="s">
        <v>101</v>
      </c>
      <c r="AD19" s="132"/>
    </row>
    <row r="20" spans="1:33" ht="15.75" thickBot="1">
      <c r="B20" s="153"/>
      <c r="C20" s="67">
        <v>10</v>
      </c>
      <c r="D20" s="85">
        <f>Cálculos!L21*Cálculos!M11</f>
        <v>1.1900644123667407E-7</v>
      </c>
      <c r="E20" s="79">
        <f>Cálculos!L21*Cálculos!M12</f>
        <v>2.7647058304822543E-7</v>
      </c>
      <c r="F20" s="79">
        <f>Cálculos!L21*Cálculos!M13</f>
        <v>3.2114221086156861E-7</v>
      </c>
      <c r="G20" s="79">
        <f>Cálculos!L21*Cálculos!M14</f>
        <v>2.4868786752396625E-7</v>
      </c>
      <c r="H20" s="79">
        <f>Cálculos!L21*Cálculos!M15</f>
        <v>1.4443520665119823E-7</v>
      </c>
      <c r="I20" s="79">
        <f>Cálculos!L21*Cálculos!M16</f>
        <v>6.7109116751307206E-8</v>
      </c>
      <c r="J20" s="79">
        <f>Cálculos!L21*Cálculos!M17</f>
        <v>2.5984163046528815E-8</v>
      </c>
      <c r="K20" s="79">
        <f>Cálculos!L21*Cálculos!M18</f>
        <v>8.6236109009152357E-9</v>
      </c>
      <c r="L20" s="79">
        <f>Cálculos!L21*Cálculos!M19</f>
        <v>2.5042496744099967E-9</v>
      </c>
      <c r="M20" s="101">
        <f>Cálculos!L21*Cálculos!M20</f>
        <v>6.4641820167022786E-10</v>
      </c>
      <c r="N20" s="103">
        <f>Cálculos!L21*Cálculos!M21</f>
        <v>1.5017306227427854E-10</v>
      </c>
      <c r="R20" s="157" t="s">
        <v>78</v>
      </c>
      <c r="S20" s="158"/>
      <c r="T20" s="92">
        <f>Cálculos!C41</f>
        <v>1.3241379310344827</v>
      </c>
      <c r="U20" s="93">
        <f>Cálculos!D41</f>
        <v>2.3231564625850338</v>
      </c>
      <c r="V20"/>
      <c r="Y20"/>
      <c r="Z20"/>
      <c r="AA20" s="127">
        <f>SUM(D10:D20,E11:E20,F12:F20,G13:G20,H14:H20,I15:I20,J16:J20,K17:K20,L18:L20,M19:M20,N20)</f>
        <v>0.40241206289538156</v>
      </c>
      <c r="AB20" s="128"/>
      <c r="AC20" s="129">
        <f>SUM(D10:N10,E11:N11,F12:N12,G13:N13,H14:N14,I15:N15,J16:N16,K17:N17,L18:N18,M19:N19,N20)</f>
        <v>0.79111315710914176</v>
      </c>
      <c r="AD20" s="130"/>
    </row>
    <row r="21" spans="1:33" ht="15.75" thickBot="1">
      <c r="AB21" s="194">
        <f>SUM(D10,E11,F12,G13,H14,I15,J16,K17,L18,M19,N20)</f>
        <v>0.19355517353068138</v>
      </c>
      <c r="AC21" s="195"/>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27" sqref="H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102</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0.26603243531772486</v>
      </c>
      <c r="M11" s="53">
        <f>((D41^0)*(2.71828^(-D41)))/FACT(0)</f>
        <v>9.7964030842131525E-2</v>
      </c>
      <c r="P11" s="34">
        <v>47</v>
      </c>
      <c r="Q11" s="35">
        <v>29</v>
      </c>
      <c r="R11" s="110">
        <v>15</v>
      </c>
      <c r="T11" s="181"/>
      <c r="U11" s="181"/>
      <c r="V11" s="181"/>
      <c r="W11" s="181"/>
      <c r="X11" s="181"/>
      <c r="Y11" s="181"/>
      <c r="Z11" s="181"/>
    </row>
    <row r="12" spans="1:26">
      <c r="B12">
        <v>1</v>
      </c>
      <c r="C12" s="40">
        <v>1</v>
      </c>
      <c r="D12" s="41">
        <v>0</v>
      </c>
      <c r="G12">
        <v>1</v>
      </c>
      <c r="H12" s="40">
        <v>0</v>
      </c>
      <c r="I12" s="41">
        <v>3</v>
      </c>
      <c r="K12" s="24" t="s">
        <v>17</v>
      </c>
      <c r="L12" s="52">
        <f>((C41^1)*(2.71828^(-C41)))/FACT(1)</f>
        <v>0.35226363848967707</v>
      </c>
      <c r="M12" s="53">
        <f>((D41^1)*(2.71828^(-D41)))/FACT(1)</f>
        <v>0.22758577135177743</v>
      </c>
      <c r="P12" s="36">
        <v>35</v>
      </c>
      <c r="Q12" s="37">
        <v>19</v>
      </c>
      <c r="R12" s="111">
        <v>17</v>
      </c>
      <c r="T12" s="181"/>
      <c r="U12" s="181"/>
      <c r="V12" s="181"/>
      <c r="W12" s="181"/>
      <c r="X12" s="181"/>
      <c r="Y12" s="181"/>
      <c r="Z12" s="181"/>
    </row>
    <row r="13" spans="1:26">
      <c r="B13">
        <v>2</v>
      </c>
      <c r="C13" s="42">
        <v>0</v>
      </c>
      <c r="D13" s="37">
        <v>1</v>
      </c>
      <c r="G13">
        <v>2</v>
      </c>
      <c r="H13" s="42">
        <v>1</v>
      </c>
      <c r="I13" s="37">
        <v>0</v>
      </c>
      <c r="K13" s="24" t="s">
        <v>18</v>
      </c>
      <c r="L13" s="52">
        <f>((C41^2)*(2.71828^(-C41)))/FACT(2)</f>
        <v>0.23322282272419997</v>
      </c>
      <c r="M13" s="53">
        <f>((D41^2)*(2.71828^(-D41)))/FACT(2)</f>
        <v>0.26435867775414079</v>
      </c>
      <c r="P13" s="36">
        <v>21</v>
      </c>
      <c r="Q13" s="37">
        <v>18</v>
      </c>
      <c r="R13" s="111">
        <v>16</v>
      </c>
      <c r="T13" s="181"/>
      <c r="U13" s="181"/>
      <c r="V13" s="181"/>
      <c r="W13" s="181"/>
      <c r="X13" s="181"/>
      <c r="Y13" s="181"/>
      <c r="Z13" s="181"/>
    </row>
    <row r="14" spans="1:26">
      <c r="B14">
        <v>3</v>
      </c>
      <c r="C14" s="42">
        <v>0</v>
      </c>
      <c r="D14" s="37">
        <v>1</v>
      </c>
      <c r="G14">
        <v>3</v>
      </c>
      <c r="H14" s="42">
        <v>0</v>
      </c>
      <c r="I14" s="37">
        <v>0</v>
      </c>
      <c r="K14" s="24" t="s">
        <v>19</v>
      </c>
      <c r="L14" s="52">
        <f>((C41^3)*(2.71828^(-C41)))/FACT(3)</f>
        <v>0.10293972865068136</v>
      </c>
      <c r="M14" s="53">
        <f>((D41^3)*(2.71828^(-D41)))/FACT(3)</f>
        <v>0.20471552355498887</v>
      </c>
      <c r="P14" s="36">
        <v>23</v>
      </c>
      <c r="Q14" s="37">
        <v>25</v>
      </c>
      <c r="R14" s="111">
        <v>16</v>
      </c>
    </row>
    <row r="15" spans="1:26">
      <c r="B15">
        <v>4</v>
      </c>
      <c r="C15" s="42">
        <v>1</v>
      </c>
      <c r="D15" s="37">
        <v>2</v>
      </c>
      <c r="G15">
        <v>4</v>
      </c>
      <c r="H15" s="42">
        <v>1</v>
      </c>
      <c r="I15" s="37">
        <v>4</v>
      </c>
      <c r="K15" s="24" t="s">
        <v>21</v>
      </c>
      <c r="L15" s="52">
        <f>((C41^4)*(2.71828^(-C41)))/FACT(4)</f>
        <v>3.4076599829191069E-2</v>
      </c>
      <c r="M15" s="53">
        <f>((D41^4)*(2.71828^(-D41)))/FACT(4)</f>
        <v>0.11889654788456278</v>
      </c>
      <c r="P15" s="36">
        <v>27</v>
      </c>
      <c r="Q15" s="37">
        <v>23</v>
      </c>
      <c r="R15" s="111">
        <v>16</v>
      </c>
    </row>
    <row r="16" spans="1:26">
      <c r="B16">
        <v>5</v>
      </c>
      <c r="C16" s="42">
        <v>1</v>
      </c>
      <c r="D16" s="37">
        <v>1</v>
      </c>
      <c r="G16">
        <v>5</v>
      </c>
      <c r="H16" s="42">
        <v>0</v>
      </c>
      <c r="I16" s="37">
        <v>0</v>
      </c>
      <c r="K16" s="24" t="s">
        <v>20</v>
      </c>
      <c r="L16" s="52">
        <f>((C41^5)*(2.71828^(-C41)))/FACT(5)</f>
        <v>9.0244236789030156E-3</v>
      </c>
      <c r="M16" s="53">
        <f>((D41^5)*(2.71828^(-D41)))/FACT(5)</f>
        <v>5.5243056719414589E-2</v>
      </c>
      <c r="P16" s="36">
        <v>24</v>
      </c>
      <c r="Q16" s="37">
        <v>19</v>
      </c>
      <c r="R16" s="111">
        <v>15</v>
      </c>
    </row>
    <row r="17" spans="2:18">
      <c r="B17">
        <v>6</v>
      </c>
      <c r="C17" s="42">
        <v>2</v>
      </c>
      <c r="D17" s="37">
        <v>1</v>
      </c>
      <c r="G17">
        <v>6</v>
      </c>
      <c r="H17" s="42">
        <v>1</v>
      </c>
      <c r="I17" s="37">
        <v>0</v>
      </c>
      <c r="K17" s="69" t="s">
        <v>22</v>
      </c>
      <c r="L17" s="70">
        <f>((C41^6)*(2.71828^(-C41)))/FACT(6)</f>
        <v>1.9915969498268725E-3</v>
      </c>
      <c r="M17" s="71">
        <f>((D41^6)*(2.71828^(-D41)))/FACT(6)</f>
        <v>2.1389710705109932E-2</v>
      </c>
      <c r="P17" s="36">
        <v>20</v>
      </c>
      <c r="Q17" s="37">
        <v>25</v>
      </c>
      <c r="R17" s="111">
        <v>17</v>
      </c>
    </row>
    <row r="18" spans="2:18">
      <c r="B18">
        <v>7</v>
      </c>
      <c r="C18" s="42">
        <v>3</v>
      </c>
      <c r="D18" s="37">
        <v>2</v>
      </c>
      <c r="G18">
        <v>7</v>
      </c>
      <c r="H18" s="42">
        <v>3</v>
      </c>
      <c r="I18" s="37">
        <v>1</v>
      </c>
      <c r="K18" s="72" t="s">
        <v>82</v>
      </c>
      <c r="L18" s="52">
        <f>((C41^7)*(2.71828^(-C41)))/FACT(7)</f>
        <v>3.7673558065690592E-4</v>
      </c>
      <c r="M18" s="53">
        <f>((D41^7)*(2.71828^(-D41)))/FACT(7)</f>
        <v>7.0988063796286315E-3</v>
      </c>
      <c r="P18" s="36">
        <v>17</v>
      </c>
      <c r="Q18" s="37">
        <v>20</v>
      </c>
      <c r="R18" s="111">
        <v>15</v>
      </c>
    </row>
    <row r="19" spans="2:18">
      <c r="B19">
        <v>8</v>
      </c>
      <c r="C19" s="42">
        <v>1</v>
      </c>
      <c r="D19" s="37">
        <v>2</v>
      </c>
      <c r="G19">
        <v>8</v>
      </c>
      <c r="H19" s="42">
        <v>2</v>
      </c>
      <c r="I19" s="37">
        <v>5</v>
      </c>
      <c r="K19" s="72" t="s">
        <v>83</v>
      </c>
      <c r="L19" s="52">
        <f>((C41^8)*(2.71828^(-C41)))/FACT(8)</f>
        <v>6.2356234039763735E-5</v>
      </c>
      <c r="M19" s="53">
        <f>((D41^8)*(2.71828^(-D41)))/FACT(8)</f>
        <v>2.0614547396842651E-3</v>
      </c>
      <c r="P19" s="36">
        <v>25</v>
      </c>
      <c r="Q19" s="37">
        <v>17</v>
      </c>
      <c r="R19" s="111">
        <v>17</v>
      </c>
    </row>
    <row r="20" spans="2:18">
      <c r="B20">
        <v>9</v>
      </c>
      <c r="C20" s="42">
        <v>1</v>
      </c>
      <c r="D20" s="37">
        <v>2</v>
      </c>
      <c r="G20">
        <v>9</v>
      </c>
      <c r="H20" s="42">
        <v>2</v>
      </c>
      <c r="I20" s="37">
        <v>2</v>
      </c>
      <c r="K20" s="72" t="s">
        <v>84</v>
      </c>
      <c r="L20" s="52">
        <f>((C41^9)*(2.71828^(-C41)))/FACT(9)</f>
        <v>9.1742505253905266E-6</v>
      </c>
      <c r="M20" s="53">
        <f>((D41^9)*(2.71828^(-D41)))/FACT(9)</f>
        <v>5.3212021120267218E-4</v>
      </c>
      <c r="P20" s="36">
        <v>15</v>
      </c>
      <c r="Q20" s="37">
        <v>17</v>
      </c>
      <c r="R20" s="111">
        <v>17</v>
      </c>
    </row>
    <row r="21" spans="2:18" ht="15.75" thickBot="1">
      <c r="B21">
        <v>10</v>
      </c>
      <c r="C21" s="42">
        <v>2</v>
      </c>
      <c r="D21" s="37">
        <v>1</v>
      </c>
      <c r="G21">
        <v>10</v>
      </c>
      <c r="H21" s="42">
        <v>1</v>
      </c>
      <c r="I21" s="37">
        <v>1</v>
      </c>
      <c r="K21" s="73" t="s">
        <v>85</v>
      </c>
      <c r="L21" s="50">
        <f>((C41^10)*(2.71828^(-C41)))/FACT(10)</f>
        <v>1.2147973109482629E-6</v>
      </c>
      <c r="M21" s="51">
        <f>((D41^10)*(2.71828^(-D41)))/FACT(10)</f>
        <v>1.2361985075276009E-4</v>
      </c>
      <c r="P21" s="36">
        <v>19</v>
      </c>
      <c r="Q21" s="37">
        <v>20</v>
      </c>
      <c r="R21" s="111">
        <v>15</v>
      </c>
    </row>
    <row r="22" spans="2:18">
      <c r="B22">
        <v>11</v>
      </c>
      <c r="C22" s="42">
        <v>5</v>
      </c>
      <c r="D22" s="37">
        <v>0</v>
      </c>
      <c r="G22">
        <v>11</v>
      </c>
      <c r="H22" s="42">
        <v>2</v>
      </c>
      <c r="I22" s="37">
        <v>3</v>
      </c>
      <c r="P22" s="36">
        <v>17</v>
      </c>
      <c r="Q22" s="37">
        <v>13</v>
      </c>
      <c r="R22" s="111">
        <v>16</v>
      </c>
    </row>
    <row r="23" spans="2:18">
      <c r="B23">
        <v>12</v>
      </c>
      <c r="C23" s="42">
        <v>2</v>
      </c>
      <c r="D23" s="37">
        <v>3</v>
      </c>
      <c r="G23">
        <v>12</v>
      </c>
      <c r="H23" s="42">
        <v>3</v>
      </c>
      <c r="I23" s="37">
        <v>1</v>
      </c>
      <c r="P23" s="36"/>
      <c r="Q23" s="37"/>
      <c r="R23" s="111"/>
    </row>
    <row r="24" spans="2:18">
      <c r="B24">
        <v>13</v>
      </c>
      <c r="C24" s="42">
        <v>2</v>
      </c>
      <c r="D24" s="37">
        <v>4</v>
      </c>
      <c r="G24">
        <v>13</v>
      </c>
      <c r="H24" s="42">
        <v>1</v>
      </c>
      <c r="I24" s="37">
        <v>4</v>
      </c>
      <c r="P24" s="36"/>
      <c r="Q24" s="37"/>
      <c r="R24" s="111"/>
    </row>
    <row r="25" spans="2:18">
      <c r="B25">
        <v>14</v>
      </c>
      <c r="C25" s="42">
        <v>2</v>
      </c>
      <c r="D25" s="37">
        <v>1</v>
      </c>
      <c r="G25">
        <v>14</v>
      </c>
      <c r="H25" s="42">
        <v>0</v>
      </c>
      <c r="I25" s="37">
        <v>2</v>
      </c>
      <c r="P25" s="36"/>
      <c r="Q25" s="37"/>
      <c r="R25" s="111"/>
    </row>
    <row r="26" spans="2:18">
      <c r="B26">
        <v>15</v>
      </c>
      <c r="C26" s="42">
        <v>2</v>
      </c>
      <c r="D26" s="37">
        <v>2</v>
      </c>
      <c r="G26">
        <v>15</v>
      </c>
      <c r="H26" s="42">
        <v>1</v>
      </c>
      <c r="I26" s="37">
        <v>3</v>
      </c>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25</v>
      </c>
      <c r="D31" s="9">
        <f>SUM(D12:D30)</f>
        <v>23</v>
      </c>
      <c r="G31" s="27" t="s">
        <v>13</v>
      </c>
      <c r="H31" s="28">
        <f>SUM(H12:H30)</f>
        <v>18</v>
      </c>
      <c r="I31" s="29">
        <f>SUM(I12:I30)</f>
        <v>29</v>
      </c>
      <c r="P31" s="36"/>
      <c r="Q31" s="37"/>
      <c r="R31" s="111"/>
    </row>
    <row r="32" spans="2:18" ht="15.75" thickBot="1">
      <c r="B32" s="14" t="s">
        <v>15</v>
      </c>
      <c r="C32" s="10">
        <f>COUNT(C12:C30)</f>
        <v>15</v>
      </c>
      <c r="G32" s="14" t="s">
        <v>15</v>
      </c>
      <c r="H32" s="26">
        <f>COUNT(H12:H30)</f>
        <v>15</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1.6666666666666667</v>
      </c>
      <c r="G35" s="147" t="s">
        <v>2</v>
      </c>
      <c r="H35" s="148"/>
      <c r="I35" s="11" t="s">
        <v>4</v>
      </c>
      <c r="J35" s="3">
        <f>I31/H32</f>
        <v>1.9333333333333333</v>
      </c>
      <c r="P35" s="36"/>
      <c r="Q35" s="37"/>
      <c r="R35" s="111"/>
    </row>
    <row r="36" spans="1:21" ht="15.75" thickBot="1">
      <c r="B36" s="149" t="s">
        <v>3</v>
      </c>
      <c r="C36" s="150"/>
      <c r="D36" s="12" t="s">
        <v>4</v>
      </c>
      <c r="E36" s="2">
        <f>D31/C32</f>
        <v>1.5333333333333334</v>
      </c>
      <c r="G36" s="149" t="s">
        <v>3</v>
      </c>
      <c r="H36" s="150"/>
      <c r="I36" s="12" t="s">
        <v>4</v>
      </c>
      <c r="J36" s="2">
        <f>H31/H32</f>
        <v>1.2</v>
      </c>
      <c r="P36" s="36"/>
      <c r="Q36" s="37"/>
      <c r="R36" s="111"/>
    </row>
    <row r="37" spans="1:21" ht="15.75" thickBot="1">
      <c r="P37" s="38"/>
      <c r="Q37" s="39"/>
      <c r="R37" s="112"/>
    </row>
    <row r="38" spans="1:21" ht="15.75" thickBot="1">
      <c r="B38" s="60"/>
      <c r="C38" s="61" t="s">
        <v>0</v>
      </c>
      <c r="D38" s="62" t="s">
        <v>1</v>
      </c>
      <c r="O38" s="114" t="s">
        <v>24</v>
      </c>
      <c r="P38" s="13">
        <f>SUM(P11:P37)</f>
        <v>290</v>
      </c>
      <c r="Q38" s="113">
        <f>SUM(Q11:Q37)</f>
        <v>245</v>
      </c>
    </row>
    <row r="39" spans="1:21" ht="15.75" thickBot="1">
      <c r="B39" s="63" t="s">
        <v>27</v>
      </c>
      <c r="C39" s="64">
        <f>E35/P41</f>
        <v>1.103448275862069</v>
      </c>
      <c r="D39" s="65">
        <f>J35/Q41</f>
        <v>1.5151020408163265</v>
      </c>
      <c r="F39" t="s">
        <v>92</v>
      </c>
      <c r="O39" s="14" t="s">
        <v>25</v>
      </c>
      <c r="P39" s="173">
        <f>SUM(R11:R37)</f>
        <v>192</v>
      </c>
      <c r="Q39" s="174"/>
    </row>
    <row r="40" spans="1:21" ht="15.75" thickBot="1">
      <c r="B40" s="18" t="s">
        <v>77</v>
      </c>
      <c r="C40" s="20">
        <f>E36/Q41</f>
        <v>1.2016326530612245</v>
      </c>
      <c r="D40" s="21">
        <f>J36/P41</f>
        <v>0.79448275862068962</v>
      </c>
      <c r="O40" s="14" t="s">
        <v>26</v>
      </c>
      <c r="P40" s="175">
        <f>COUNT(P11:P37)</f>
        <v>12</v>
      </c>
      <c r="Q40" s="176"/>
    </row>
    <row r="41" spans="1:21" ht="15.75" thickBot="1">
      <c r="B41" s="18" t="s">
        <v>78</v>
      </c>
      <c r="C41" s="20">
        <f>C39*D40*P41</f>
        <v>1.3241379310344827</v>
      </c>
      <c r="D41" s="21">
        <f>C40*D39*Q41</f>
        <v>2.3231564625850338</v>
      </c>
      <c r="O41" s="14" t="s">
        <v>35</v>
      </c>
      <c r="P41" s="19">
        <f>P38/(P39)</f>
        <v>1.5104166666666667</v>
      </c>
      <c r="Q41" s="113">
        <f>Q38/(P39)</f>
        <v>1.2760416666666667</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2018-06-02T15:47:53Z</dcterms:modified>
</cp:coreProperties>
</file>