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activeX/activeX1.bin" ContentType="application/vnd.ms-office.activeX"/>
  <Default Extension="emf" ContentType="image/x-emf"/>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activeX/activeX1.xml" ContentType="application/vnd.ms-office.activeX+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filterPrivacy="1" codeName="ThisWorkbook" defaultThemeVersion="124226"/>
  <bookViews>
    <workbookView xWindow="360" yWindow="300" windowWidth="14880" windowHeight="7815"/>
  </bookViews>
  <sheets>
    <sheet name="Resumen" sheetId="1" r:id="rId1"/>
    <sheet name="Cálculos" sheetId="2" r:id="rId2"/>
    <sheet name="Hoja3" sheetId="3" r:id="rId3"/>
  </sheets>
  <calcPr calcId="125725"/>
</workbook>
</file>

<file path=xl/calcChain.xml><?xml version="1.0" encoding="utf-8"?>
<calcChain xmlns="http://schemas.openxmlformats.org/spreadsheetml/2006/main">
  <c r="P39" i="2"/>
  <c r="J4" i="3" l="1"/>
  <c r="P40" i="2" l="1"/>
  <c r="F3" i="1"/>
  <c r="G4"/>
  <c r="J3"/>
  <c r="I31" i="2"/>
  <c r="H31"/>
  <c r="Q38"/>
  <c r="Q41" s="1"/>
  <c r="P38"/>
  <c r="P41" s="1"/>
  <c r="H32"/>
  <c r="C32"/>
  <c r="D31"/>
  <c r="C31"/>
  <c r="J36" l="1"/>
  <c r="D40" s="1"/>
  <c r="E35"/>
  <c r="C39" s="1"/>
  <c r="E36"/>
  <c r="C40" s="1"/>
  <c r="J35"/>
  <c r="D39" s="1"/>
  <c r="D41" l="1"/>
  <c r="C41"/>
  <c r="U19" i="1"/>
  <c r="U18"/>
  <c r="U9"/>
  <c r="U10"/>
  <c r="Z10"/>
  <c r="Z9"/>
  <c r="M19" i="2" l="1"/>
  <c r="T19" i="1"/>
  <c r="T18"/>
  <c r="U20" l="1"/>
  <c r="M16" i="2"/>
  <c r="X15" i="1" s="1"/>
  <c r="M20" i="2"/>
  <c r="M17"/>
  <c r="Y15" i="1" s="1"/>
  <c r="M13" i="2"/>
  <c r="U15" i="1" s="1"/>
  <c r="M14" i="2"/>
  <c r="V15" i="1" s="1"/>
  <c r="M18" i="2"/>
  <c r="M11"/>
  <c r="S15" i="1" s="1"/>
  <c r="M12" i="2"/>
  <c r="T15" i="1" s="1"/>
  <c r="M21" i="2"/>
  <c r="M15"/>
  <c r="W15" i="1" s="1"/>
  <c r="L19" i="2"/>
  <c r="L11"/>
  <c r="L21"/>
  <c r="L12"/>
  <c r="L20"/>
  <c r="L13"/>
  <c r="T20" i="1"/>
  <c r="L14" i="2"/>
  <c r="L15"/>
  <c r="L18"/>
  <c r="L16"/>
  <c r="L17"/>
  <c r="L10" i="1" l="1"/>
  <c r="D10"/>
  <c r="F10"/>
  <c r="M10"/>
  <c r="J10"/>
  <c r="H10"/>
  <c r="K10"/>
  <c r="J13"/>
  <c r="I13"/>
  <c r="L13"/>
  <c r="D13"/>
  <c r="G13"/>
  <c r="M13"/>
  <c r="N13"/>
  <c r="F13"/>
  <c r="E13"/>
  <c r="K13"/>
  <c r="H13"/>
  <c r="V14"/>
  <c r="G18"/>
  <c r="F18"/>
  <c r="M18"/>
  <c r="K18"/>
  <c r="E18"/>
  <c r="J18"/>
  <c r="I18"/>
  <c r="N18"/>
  <c r="L18"/>
  <c r="H18"/>
  <c r="D18"/>
  <c r="J12"/>
  <c r="F12"/>
  <c r="K12"/>
  <c r="I12"/>
  <c r="L12"/>
  <c r="D12"/>
  <c r="M12"/>
  <c r="N12"/>
  <c r="E12"/>
  <c r="G12"/>
  <c r="H12"/>
  <c r="U14"/>
  <c r="L17"/>
  <c r="F17"/>
  <c r="E17"/>
  <c r="J17"/>
  <c r="I17"/>
  <c r="N17"/>
  <c r="K17"/>
  <c r="H17"/>
  <c r="D17"/>
  <c r="G17"/>
  <c r="M17"/>
  <c r="S14"/>
  <c r="N10"/>
  <c r="K15"/>
  <c r="J15"/>
  <c r="N15"/>
  <c r="H15"/>
  <c r="D15"/>
  <c r="I15"/>
  <c r="M15"/>
  <c r="E15"/>
  <c r="G15"/>
  <c r="L15"/>
  <c r="F15"/>
  <c r="X14"/>
  <c r="E10"/>
  <c r="M20"/>
  <c r="H20"/>
  <c r="D20"/>
  <c r="N20"/>
  <c r="L20"/>
  <c r="G20"/>
  <c r="F20"/>
  <c r="K20"/>
  <c r="E20"/>
  <c r="J20"/>
  <c r="I20"/>
  <c r="J11"/>
  <c r="D11"/>
  <c r="E11"/>
  <c r="K11"/>
  <c r="L11"/>
  <c r="M11"/>
  <c r="N11"/>
  <c r="F11"/>
  <c r="G11"/>
  <c r="H11"/>
  <c r="I11"/>
  <c r="T14"/>
  <c r="K14"/>
  <c r="N14"/>
  <c r="I14"/>
  <c r="D14"/>
  <c r="H14"/>
  <c r="M14"/>
  <c r="G14"/>
  <c r="L14"/>
  <c r="F14"/>
  <c r="E14"/>
  <c r="J14"/>
  <c r="W14"/>
  <c r="E16"/>
  <c r="K16"/>
  <c r="J16"/>
  <c r="I16"/>
  <c r="L16"/>
  <c r="F16"/>
  <c r="N16"/>
  <c r="H16"/>
  <c r="D16"/>
  <c r="M16"/>
  <c r="G16"/>
  <c r="Y14"/>
  <c r="L19"/>
  <c r="G19"/>
  <c r="F19"/>
  <c r="D19"/>
  <c r="K19"/>
  <c r="E19"/>
  <c r="J19"/>
  <c r="H19"/>
  <c r="I19"/>
  <c r="N19"/>
  <c r="M19"/>
  <c r="G10"/>
  <c r="I10"/>
  <c r="AB21" l="1"/>
  <c r="AC20"/>
  <c r="AA20"/>
  <c r="AB13"/>
  <c r="AC13"/>
  <c r="AC9"/>
  <c r="AC8"/>
</calcChain>
</file>

<file path=xl/sharedStrings.xml><?xml version="1.0" encoding="utf-8"?>
<sst xmlns="http://schemas.openxmlformats.org/spreadsheetml/2006/main" count="151" uniqueCount="106">
  <si>
    <t>LOCAL</t>
  </si>
  <si>
    <t>VISITANTE</t>
  </si>
  <si>
    <t>Media de goles a favor</t>
  </si>
  <si>
    <t>Media de goles en contra</t>
  </si>
  <si>
    <t>→</t>
  </si>
  <si>
    <t>Equipo Local</t>
  </si>
  <si>
    <t>Equipo Visitante</t>
  </si>
  <si>
    <t>Probabilidad de que maque X goles</t>
  </si>
  <si>
    <t>Eq. Local</t>
  </si>
  <si>
    <t>Eq. Visitante</t>
  </si>
  <si>
    <t>Goles como eq. LOCAL</t>
  </si>
  <si>
    <t>Marcados</t>
  </si>
  <si>
    <t>Encajados</t>
  </si>
  <si>
    <t>Sum. Total</t>
  </si>
  <si>
    <t>Goles como eq. VISITANTE</t>
  </si>
  <si>
    <t>Num. Partidos</t>
  </si>
  <si>
    <t>Prob. 0 Goles</t>
  </si>
  <si>
    <t>Prob. 1 Goles</t>
  </si>
  <si>
    <t>Prob. 2 Goles</t>
  </si>
  <si>
    <t>Prob. 3 Goles</t>
  </si>
  <si>
    <t>Prob. 5 Goles</t>
  </si>
  <si>
    <t>Prob. 4 Goles</t>
  </si>
  <si>
    <t>Prob. 6 Goles</t>
  </si>
  <si>
    <t>LIGA</t>
  </si>
  <si>
    <t>Total de goles</t>
  </si>
  <si>
    <t>Partidos jugados</t>
  </si>
  <si>
    <t>Equipos</t>
  </si>
  <si>
    <t>Fuerza ataque</t>
  </si>
  <si>
    <t>%</t>
  </si>
  <si>
    <t>Partido entero - LOCAL vs VISITANTE</t>
  </si>
  <si>
    <t>Partido por mitades - LOCAL vs VISITANTE</t>
  </si>
  <si>
    <t>VS</t>
  </si>
  <si>
    <t>Equipo LOCAL</t>
  </si>
  <si>
    <t>Equipo VISITANTE</t>
  </si>
  <si>
    <t>Celdas a rellenar</t>
  </si>
  <si>
    <t>Media G/Partido</t>
  </si>
  <si>
    <t>Informe número -&gt;&gt;</t>
  </si>
  <si>
    <t>Flamengo</t>
  </si>
  <si>
    <t>Bahia</t>
  </si>
  <si>
    <t>      </t>
  </si>
  <si>
    <t>1.</t>
  </si>
  <si>
    <t>Sao Paulo</t>
  </si>
  <si>
    <t>8.</t>
  </si>
  <si>
    <t>Gremio</t>
  </si>
  <si>
    <t>3.</t>
  </si>
  <si>
    <t>Fluminense</t>
  </si>
  <si>
    <t>4.</t>
  </si>
  <si>
    <t>Internacional</t>
  </si>
  <si>
    <t>9.</t>
  </si>
  <si>
    <t>Corinthians</t>
  </si>
  <si>
    <t>10.</t>
  </si>
  <si>
    <t>Palmeiras</t>
  </si>
  <si>
    <t>6.</t>
  </si>
  <si>
    <t>Cruzeiro</t>
  </si>
  <si>
    <t>7.</t>
  </si>
  <si>
    <t>Atlético-MG</t>
  </si>
  <si>
    <t>11.</t>
  </si>
  <si>
    <t>Vasco</t>
  </si>
  <si>
    <t>5.</t>
  </si>
  <si>
    <t>Sport Recife</t>
  </si>
  <si>
    <t>13.</t>
  </si>
  <si>
    <t>Botafogo</t>
  </si>
  <si>
    <t>18.</t>
  </si>
  <si>
    <t>Atlético-PR</t>
  </si>
  <si>
    <t>12.</t>
  </si>
  <si>
    <t>América-MG</t>
  </si>
  <si>
    <t>15.</t>
  </si>
  <si>
    <t>Vitória</t>
  </si>
  <si>
    <t>16.</t>
  </si>
  <si>
    <t>17.</t>
  </si>
  <si>
    <t>Santos</t>
  </si>
  <si>
    <t>14.</t>
  </si>
  <si>
    <t>Chapecoense</t>
  </si>
  <si>
    <t>19.</t>
  </si>
  <si>
    <t>Ceara</t>
  </si>
  <si>
    <t>20.</t>
  </si>
  <si>
    <t>Paraná</t>
  </si>
  <si>
    <t>Fuerza dfnsiva</t>
  </si>
  <si>
    <t>Prob. Goles</t>
  </si>
  <si>
    <t>L\V</t>
  </si>
  <si>
    <t>Goles del equipo LOCAL</t>
  </si>
  <si>
    <t>Goles del equipo VISITANTE</t>
  </si>
  <si>
    <t>Prob. 7 Goles</t>
  </si>
  <si>
    <t>Prob. 8 Goles</t>
  </si>
  <si>
    <t>Prob. 9 Goles</t>
  </si>
  <si>
    <t>Prob. 10 Goles</t>
  </si>
  <si>
    <t>Resultados esperados</t>
  </si>
  <si>
    <t>VSTNT</t>
  </si>
  <si>
    <t>LCL</t>
  </si>
  <si>
    <t>Over 2.5</t>
  </si>
  <si>
    <t>Under 2.5</t>
  </si>
  <si>
    <t>Ambos equipos marcan</t>
  </si>
  <si>
    <t>Habrá que mirar el tema de los goles fuera de casa de todos los equipos en la liga y como visitante</t>
  </si>
  <si>
    <t>Partidos jugads</t>
  </si>
  <si>
    <t>Los goles en casa valen tanto para calcular la fuerza ofensiva del equipo local 
como la fuerza defensiva del equipo visitante, ya que los goles marcados como local
serán los mismos que encajados con los equipos visitantes.</t>
  </si>
  <si>
    <t>A favor. LCL</t>
  </si>
  <si>
    <t>A favor. VSTNT</t>
  </si>
  <si>
    <t>SI</t>
  </si>
  <si>
    <t>NO</t>
  </si>
  <si>
    <t>Vict. LCL o empate</t>
  </si>
  <si>
    <t>Vict. VST o empate</t>
  </si>
  <si>
    <t>1-0</t>
  </si>
  <si>
    <t>Estados Unidos MLS</t>
  </si>
  <si>
    <t>2-0</t>
  </si>
  <si>
    <t>New York City</t>
  </si>
  <si>
    <t>Orlando City</t>
  </si>
</sst>
</file>

<file path=xl/styles.xml><?xml version="1.0" encoding="utf-8"?>
<styleSheet xmlns="http://schemas.openxmlformats.org/spreadsheetml/2006/main">
  <fonts count="13">
    <font>
      <sz val="11"/>
      <color theme="1"/>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theme="0"/>
      <name val="Calibri"/>
      <family val="2"/>
      <scheme val="minor"/>
    </font>
    <font>
      <sz val="22"/>
      <color theme="0"/>
      <name val="Calibri"/>
      <family val="2"/>
      <scheme val="minor"/>
    </font>
    <font>
      <sz val="24"/>
      <color theme="0"/>
      <name val="Calibri"/>
      <family val="2"/>
      <scheme val="minor"/>
    </font>
    <font>
      <sz val="11"/>
      <color theme="1" tint="4.9989318521683403E-2"/>
      <name val="Calibri"/>
      <family val="2"/>
      <scheme val="minor"/>
    </font>
    <font>
      <sz val="11"/>
      <color theme="1"/>
      <name val="Calibri"/>
      <family val="2"/>
      <scheme val="minor"/>
    </font>
  </fonts>
  <fills count="18">
    <fill>
      <patternFill patternType="none"/>
    </fill>
    <fill>
      <patternFill patternType="gray125"/>
    </fill>
    <fill>
      <patternFill patternType="solid">
        <fgColor rgb="FFC6EFCE"/>
      </patternFill>
    </fill>
    <fill>
      <patternFill patternType="solid">
        <fgColor rgb="FFFFC7CE"/>
      </patternFill>
    </fill>
    <fill>
      <patternFill patternType="solid">
        <fgColor theme="0" tint="-0.499984740745262"/>
        <bgColor indexed="64"/>
      </patternFill>
    </fill>
    <fill>
      <patternFill patternType="solid">
        <fgColor rgb="FFFFEB9C"/>
      </patternFill>
    </fill>
    <fill>
      <patternFill patternType="solid">
        <fgColor rgb="FFFFCC99"/>
      </patternFill>
    </fill>
    <fill>
      <patternFill patternType="solid">
        <fgColor rgb="FFF2F2F2"/>
      </patternFill>
    </fill>
    <fill>
      <patternFill patternType="solid">
        <fgColor theme="4"/>
      </patternFill>
    </fill>
    <fill>
      <patternFill patternType="solid">
        <fgColor theme="7" tint="0.59999389629810485"/>
        <bgColor indexed="64"/>
      </patternFill>
    </fill>
    <fill>
      <patternFill patternType="solid">
        <fgColor theme="2" tint="-0.249977111117893"/>
        <bgColor indexed="64"/>
      </patternFill>
    </fill>
    <fill>
      <patternFill patternType="solid">
        <fgColor theme="5" tint="0.39997558519241921"/>
        <bgColor indexed="64"/>
      </patternFill>
    </fill>
    <fill>
      <patternFill patternType="solid">
        <fgColor theme="9" tint="0.59999389629810485"/>
        <bgColor indexed="64"/>
      </patternFill>
    </fill>
    <fill>
      <patternFill patternType="solid">
        <fgColor theme="6" tint="0.39997558519241921"/>
        <bgColor indexed="64"/>
      </patternFill>
    </fill>
    <fill>
      <patternFill patternType="solid">
        <fgColor rgb="FF92D050"/>
        <bgColor indexed="64"/>
      </patternFill>
    </fill>
    <fill>
      <patternFill patternType="solid">
        <fgColor rgb="FFFF0000"/>
        <bgColor indexed="64"/>
      </patternFill>
    </fill>
    <fill>
      <patternFill patternType="solid">
        <fgColor rgb="FFFFC000"/>
        <bgColor indexed="64"/>
      </patternFill>
    </fill>
    <fill>
      <patternFill patternType="solid">
        <fgColor rgb="FF00B0F0"/>
        <bgColor indexed="64"/>
      </patternFill>
    </fill>
  </fills>
  <borders count="65">
    <border>
      <left/>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rgb="FF7F7F7F"/>
      </right>
      <top style="medium">
        <color indexed="64"/>
      </top>
      <bottom style="thin">
        <color rgb="FF7F7F7F"/>
      </bottom>
      <diagonal/>
    </border>
    <border>
      <left style="thin">
        <color rgb="FF7F7F7F"/>
      </left>
      <right style="thin">
        <color rgb="FF7F7F7F"/>
      </right>
      <top style="medium">
        <color indexed="64"/>
      </top>
      <bottom style="thin">
        <color rgb="FF7F7F7F"/>
      </bottom>
      <diagonal/>
    </border>
    <border>
      <left style="thin">
        <color rgb="FF7F7F7F"/>
      </left>
      <right style="medium">
        <color indexed="64"/>
      </right>
      <top style="medium">
        <color indexed="64"/>
      </top>
      <bottom style="thin">
        <color rgb="FF7F7F7F"/>
      </bottom>
      <diagonal/>
    </border>
    <border>
      <left style="medium">
        <color indexed="64"/>
      </left>
      <right style="thin">
        <color rgb="FF7F7F7F"/>
      </right>
      <top style="thin">
        <color rgb="FF7F7F7F"/>
      </top>
      <bottom style="thin">
        <color rgb="FF7F7F7F"/>
      </bottom>
      <diagonal/>
    </border>
    <border>
      <left style="medium">
        <color indexed="64"/>
      </left>
      <right style="thin">
        <color rgb="FF7F7F7F"/>
      </right>
      <top style="thin">
        <color rgb="FF7F7F7F"/>
      </top>
      <bottom style="medium">
        <color indexed="64"/>
      </bottom>
      <diagonal/>
    </border>
    <border>
      <left style="thin">
        <color rgb="FF7F7F7F"/>
      </left>
      <right style="medium">
        <color indexed="64"/>
      </right>
      <top style="thin">
        <color rgb="FF7F7F7F"/>
      </top>
      <bottom style="medium">
        <color indexed="64"/>
      </bottom>
      <diagonal/>
    </border>
    <border>
      <left/>
      <right/>
      <top/>
      <bottom style="double">
        <color rgb="FFFF8001"/>
      </bottom>
      <diagonal/>
    </border>
    <border>
      <left style="medium">
        <color indexed="64"/>
      </left>
      <right style="medium">
        <color indexed="64"/>
      </right>
      <top/>
      <bottom style="medium">
        <color indexed="64"/>
      </bottom>
      <diagonal/>
    </border>
    <border>
      <left style="thin">
        <color rgb="FF3F3F3F"/>
      </left>
      <right/>
      <top style="thin">
        <color rgb="FF3F3F3F"/>
      </top>
      <bottom style="thin">
        <color rgb="FF3F3F3F"/>
      </bottom>
      <diagonal/>
    </border>
    <border>
      <left/>
      <right/>
      <top style="medium">
        <color indexed="64"/>
      </top>
      <bottom style="medium">
        <color indexed="64"/>
      </bottom>
      <diagonal/>
    </border>
    <border>
      <left style="medium">
        <color indexed="64"/>
      </left>
      <right style="thin">
        <color rgb="FF7F7F7F"/>
      </right>
      <top style="medium">
        <color indexed="64"/>
      </top>
      <bottom/>
      <diagonal/>
    </border>
    <border>
      <left style="thin">
        <color rgb="FF7F7F7F"/>
      </left>
      <right style="thin">
        <color rgb="FF7F7F7F"/>
      </right>
      <top style="medium">
        <color indexed="64"/>
      </top>
      <bottom/>
      <diagonal/>
    </border>
    <border>
      <left style="thin">
        <color rgb="FF7F7F7F"/>
      </left>
      <right style="medium">
        <color indexed="64"/>
      </right>
      <top style="medium">
        <color indexed="64"/>
      </top>
      <bottom/>
      <diagonal/>
    </border>
    <border>
      <left style="medium">
        <color indexed="64"/>
      </left>
      <right style="thin">
        <color rgb="FF7F7F7F"/>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rgb="FF7F7F7F"/>
      </right>
      <top style="thin">
        <color rgb="FF7F7F7F"/>
      </top>
      <bottom/>
      <diagonal/>
    </border>
    <border>
      <left style="thin">
        <color indexed="64"/>
      </left>
      <right style="thin">
        <color indexed="64"/>
      </right>
      <top style="thin">
        <color indexed="64"/>
      </top>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style="medium">
        <color indexed="64"/>
      </left>
      <right style="thin">
        <color indexed="64"/>
      </right>
      <top style="medium">
        <color indexed="64"/>
      </top>
      <bottom/>
      <diagonal/>
    </border>
    <border>
      <left/>
      <right style="thin">
        <color indexed="64"/>
      </right>
      <top style="medium">
        <color indexed="64"/>
      </top>
      <bottom/>
      <diagonal/>
    </border>
    <border>
      <left/>
      <right style="thin">
        <color indexed="64"/>
      </right>
      <top style="thin">
        <color indexed="64"/>
      </top>
      <bottom/>
      <diagonal/>
    </border>
    <border>
      <left/>
      <right style="medium">
        <color indexed="64"/>
      </right>
      <top style="thin">
        <color indexed="64"/>
      </top>
      <bottom/>
      <diagonal/>
    </border>
    <border>
      <left style="medium">
        <color indexed="64"/>
      </left>
      <right/>
      <top/>
      <bottom style="thin">
        <color indexed="64"/>
      </bottom>
      <diagonal/>
    </border>
    <border>
      <left style="thin">
        <color indexed="64"/>
      </left>
      <right/>
      <top/>
      <bottom style="thin">
        <color indexed="64"/>
      </bottom>
      <diagonal/>
    </border>
    <border>
      <left style="thin">
        <color indexed="64"/>
      </left>
      <right/>
      <top/>
      <bottom style="medium">
        <color indexed="64"/>
      </bottom>
      <diagonal/>
    </border>
    <border>
      <left style="thin">
        <color rgb="FF7F7F7F"/>
      </left>
      <right style="medium">
        <color indexed="64"/>
      </right>
      <top style="thin">
        <color rgb="FF7F7F7F"/>
      </top>
      <bottom style="thin">
        <color rgb="FF7F7F7F"/>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rgb="FF3F3F3F"/>
      </left>
      <right style="medium">
        <color indexed="64"/>
      </right>
      <top style="thin">
        <color indexed="64"/>
      </top>
      <bottom style="thin">
        <color rgb="FF3F3F3F"/>
      </bottom>
      <diagonal/>
    </border>
  </borders>
  <cellStyleXfs count="10">
    <xf numFmtId="0" fontId="0" fillId="0" borderId="0"/>
    <xf numFmtId="0" fontId="1" fillId="2" borderId="0" applyNumberFormat="0" applyBorder="0" applyAlignment="0" applyProtection="0"/>
    <xf numFmtId="0" fontId="2" fillId="3" borderId="0" applyNumberFormat="0" applyBorder="0" applyAlignment="0" applyProtection="0"/>
    <xf numFmtId="0" fontId="3" fillId="5" borderId="0" applyNumberFormat="0" applyBorder="0" applyAlignment="0" applyProtection="0"/>
    <xf numFmtId="0" fontId="4" fillId="6" borderId="17" applyNumberFormat="0" applyAlignment="0" applyProtection="0"/>
    <xf numFmtId="0" fontId="5" fillId="7" borderId="18" applyNumberFormat="0" applyAlignment="0" applyProtection="0"/>
    <xf numFmtId="0" fontId="6" fillId="7" borderId="17" applyNumberFormat="0" applyAlignment="0" applyProtection="0"/>
    <xf numFmtId="0" fontId="7" fillId="0" borderId="37" applyNumberFormat="0" applyFill="0" applyAlignment="0" applyProtection="0"/>
    <xf numFmtId="0" fontId="8" fillId="8" borderId="0" applyNumberFormat="0" applyBorder="0" applyAlignment="0" applyProtection="0"/>
    <xf numFmtId="9" fontId="12" fillId="0" borderId="0" applyFont="0" applyFill="0" applyBorder="0" applyAlignment="0" applyProtection="0"/>
  </cellStyleXfs>
  <cellXfs count="196">
    <xf numFmtId="0" fontId="0" fillId="0" borderId="0" xfId="0"/>
    <xf numFmtId="0" fontId="0" fillId="4" borderId="0" xfId="0" applyFill="1"/>
    <xf numFmtId="0" fontId="2" fillId="3" borderId="13" xfId="2" applyBorder="1"/>
    <xf numFmtId="0" fontId="1" fillId="2" borderId="16" xfId="1" applyBorder="1"/>
    <xf numFmtId="22" fontId="0" fillId="0" borderId="0" xfId="0" applyNumberFormat="1"/>
    <xf numFmtId="16" fontId="0" fillId="0" borderId="0" xfId="0" applyNumberFormat="1"/>
    <xf numFmtId="17" fontId="0" fillId="0" borderId="0" xfId="0" applyNumberFormat="1"/>
    <xf numFmtId="0" fontId="0" fillId="0" borderId="0" xfId="0" applyAlignment="1">
      <alignment horizontal="center" vertical="center"/>
    </xf>
    <xf numFmtId="0" fontId="1" fillId="2" borderId="21" xfId="1" applyBorder="1" applyAlignment="1">
      <alignment horizontal="center"/>
    </xf>
    <xf numFmtId="0" fontId="2" fillId="3" borderId="22" xfId="2" applyBorder="1" applyAlignment="1">
      <alignment horizontal="center"/>
    </xf>
    <xf numFmtId="0" fontId="0" fillId="0" borderId="20" xfId="0" applyBorder="1" applyAlignment="1">
      <alignment horizontal="center"/>
    </xf>
    <xf numFmtId="0" fontId="1" fillId="2" borderId="14" xfId="1" applyBorder="1" applyAlignment="1">
      <alignment horizontal="center"/>
    </xf>
    <xf numFmtId="0" fontId="2" fillId="3" borderId="12" xfId="2" applyBorder="1" applyAlignment="1">
      <alignment horizontal="center"/>
    </xf>
    <xf numFmtId="0" fontId="1" fillId="2" borderId="20" xfId="1" applyBorder="1" applyAlignment="1">
      <alignment horizontal="center"/>
    </xf>
    <xf numFmtId="0" fontId="5" fillId="7" borderId="18" xfId="5"/>
    <xf numFmtId="0" fontId="4" fillId="6" borderId="31" xfId="4" applyBorder="1"/>
    <xf numFmtId="0" fontId="4" fillId="6" borderId="32" xfId="4" applyBorder="1" applyAlignment="1">
      <alignment horizontal="center" vertical="center"/>
    </xf>
    <xf numFmtId="0" fontId="4" fillId="6" borderId="33" xfId="4" applyBorder="1" applyAlignment="1">
      <alignment horizontal="center" vertical="center"/>
    </xf>
    <xf numFmtId="0" fontId="4" fillId="6" borderId="35" xfId="4" applyBorder="1" applyAlignment="1">
      <alignment horizontal="left"/>
    </xf>
    <xf numFmtId="0" fontId="1" fillId="2" borderId="20" xfId="1" applyBorder="1" applyAlignment="1">
      <alignment horizontal="center" vertical="center"/>
    </xf>
    <xf numFmtId="0" fontId="1" fillId="2" borderId="5" xfId="1" applyBorder="1" applyAlignment="1">
      <alignment horizontal="center" vertical="center"/>
    </xf>
    <xf numFmtId="0" fontId="2" fillId="3" borderId="6" xfId="2" applyBorder="1" applyAlignment="1">
      <alignment horizontal="center" vertical="center"/>
    </xf>
    <xf numFmtId="0" fontId="6" fillId="7" borderId="35" xfId="6" applyBorder="1" applyAlignment="1">
      <alignment horizontal="center" vertical="center"/>
    </xf>
    <xf numFmtId="0" fontId="6" fillId="7" borderId="36" xfId="6" applyBorder="1" applyAlignment="1">
      <alignment horizontal="center" vertical="center"/>
    </xf>
    <xf numFmtId="0" fontId="4" fillId="6" borderId="34" xfId="4" applyBorder="1"/>
    <xf numFmtId="0" fontId="4" fillId="6" borderId="35" xfId="4" applyBorder="1"/>
    <xf numFmtId="0" fontId="0" fillId="0" borderId="38" xfId="0" applyBorder="1" applyAlignment="1">
      <alignment horizontal="center"/>
    </xf>
    <xf numFmtId="0" fontId="5" fillId="7" borderId="39" xfId="5" applyBorder="1"/>
    <xf numFmtId="0" fontId="2" fillId="3" borderId="21" xfId="2" applyBorder="1" applyAlignment="1">
      <alignment horizontal="center"/>
    </xf>
    <xf numFmtId="0" fontId="1" fillId="2" borderId="22" xfId="1" applyBorder="1" applyAlignment="1">
      <alignment horizontal="center"/>
    </xf>
    <xf numFmtId="0" fontId="6" fillId="7" borderId="4" xfId="6" applyBorder="1" applyAlignment="1">
      <alignment horizontal="center" vertical="center"/>
    </xf>
    <xf numFmtId="0" fontId="6" fillId="7" borderId="6" xfId="6" applyBorder="1" applyAlignment="1">
      <alignment horizontal="center" vertical="center"/>
    </xf>
    <xf numFmtId="49" fontId="0" fillId="0" borderId="0" xfId="0" applyNumberFormat="1"/>
    <xf numFmtId="49" fontId="0" fillId="0" borderId="0" xfId="0" applyNumberFormat="1" applyAlignment="1">
      <alignment horizontal="center"/>
    </xf>
    <xf numFmtId="0" fontId="0" fillId="9" borderId="1" xfId="0" applyFill="1" applyBorder="1" applyAlignment="1">
      <alignment horizontal="center"/>
    </xf>
    <xf numFmtId="0" fontId="0" fillId="9" borderId="3" xfId="0" applyFill="1" applyBorder="1" applyAlignment="1">
      <alignment horizontal="center"/>
    </xf>
    <xf numFmtId="0" fontId="0" fillId="9" borderId="23" xfId="0" applyFill="1" applyBorder="1" applyAlignment="1">
      <alignment horizontal="center"/>
    </xf>
    <xf numFmtId="0" fontId="0" fillId="9" borderId="24" xfId="0" applyFill="1" applyBorder="1" applyAlignment="1">
      <alignment horizontal="center"/>
    </xf>
    <xf numFmtId="0" fontId="0" fillId="9" borderId="29" xfId="0" applyFill="1" applyBorder="1" applyAlignment="1">
      <alignment horizontal="center"/>
    </xf>
    <xf numFmtId="0" fontId="0" fillId="9" borderId="30" xfId="0" applyFill="1" applyBorder="1" applyAlignment="1">
      <alignment horizontal="center"/>
    </xf>
    <xf numFmtId="0" fontId="0" fillId="9" borderId="25" xfId="0" applyFill="1" applyBorder="1" applyAlignment="1">
      <alignment horizontal="center" vertical="center"/>
    </xf>
    <xf numFmtId="0" fontId="0" fillId="9" borderId="26" xfId="0" applyFill="1" applyBorder="1" applyAlignment="1">
      <alignment horizontal="center"/>
    </xf>
    <xf numFmtId="0" fontId="0" fillId="9" borderId="23" xfId="0" applyFill="1" applyBorder="1" applyAlignment="1">
      <alignment horizontal="center" vertical="center"/>
    </xf>
    <xf numFmtId="0" fontId="0" fillId="9" borderId="29" xfId="0" applyFill="1" applyBorder="1" applyAlignment="1">
      <alignment horizontal="center" vertical="center"/>
    </xf>
    <xf numFmtId="0" fontId="0" fillId="9" borderId="4" xfId="0" applyFill="1" applyBorder="1" applyAlignment="1">
      <alignment horizontal="center" vertical="center"/>
    </xf>
    <xf numFmtId="0" fontId="0" fillId="9" borderId="6" xfId="0" applyFill="1" applyBorder="1" applyAlignment="1">
      <alignment horizontal="center"/>
    </xf>
    <xf numFmtId="10" fontId="0" fillId="0" borderId="1" xfId="9" applyNumberFormat="1" applyFont="1" applyBorder="1"/>
    <xf numFmtId="10" fontId="0" fillId="0" borderId="2" xfId="9" applyNumberFormat="1" applyFont="1" applyBorder="1"/>
    <xf numFmtId="10" fontId="0" fillId="0" borderId="3" xfId="9" applyNumberFormat="1" applyFont="1" applyBorder="1"/>
    <xf numFmtId="10" fontId="0" fillId="0" borderId="4" xfId="9" applyNumberFormat="1" applyFont="1" applyBorder="1"/>
    <xf numFmtId="10" fontId="0" fillId="0" borderId="5" xfId="9" applyNumberFormat="1" applyFont="1" applyBorder="1"/>
    <xf numFmtId="10" fontId="0" fillId="0" borderId="6" xfId="9" applyNumberFormat="1" applyFont="1" applyBorder="1"/>
    <xf numFmtId="10" fontId="0" fillId="0" borderId="19" xfId="9" applyNumberFormat="1" applyFont="1" applyBorder="1"/>
    <xf numFmtId="10" fontId="0" fillId="0" borderId="24" xfId="9" applyNumberFormat="1" applyFont="1" applyBorder="1"/>
    <xf numFmtId="0" fontId="0" fillId="10" borderId="28" xfId="0" applyFill="1" applyBorder="1" applyAlignment="1">
      <alignment horizontal="center" vertical="center"/>
    </xf>
    <xf numFmtId="20" fontId="0" fillId="0" borderId="0" xfId="0" applyNumberFormat="1" applyAlignment="1">
      <alignment wrapText="1"/>
    </xf>
    <xf numFmtId="0" fontId="0" fillId="0" borderId="0" xfId="0" applyAlignment="1">
      <alignment wrapText="1"/>
    </xf>
    <xf numFmtId="49" fontId="0" fillId="0" borderId="0" xfId="0" applyNumberFormat="1" applyAlignment="1">
      <alignment wrapText="1"/>
    </xf>
    <xf numFmtId="45" fontId="0" fillId="0" borderId="0" xfId="0" applyNumberFormat="1"/>
    <xf numFmtId="45" fontId="0" fillId="0" borderId="0" xfId="0" applyNumberFormat="1" applyAlignment="1">
      <alignment wrapText="1"/>
    </xf>
    <xf numFmtId="0" fontId="4" fillId="6" borderId="41" xfId="4" applyBorder="1"/>
    <xf numFmtId="0" fontId="4" fillId="6" borderId="42" xfId="4" applyBorder="1" applyAlignment="1">
      <alignment horizontal="center" vertical="center"/>
    </xf>
    <xf numFmtId="0" fontId="4" fillId="6" borderId="43" xfId="4" applyBorder="1" applyAlignment="1">
      <alignment horizontal="center" vertical="center"/>
    </xf>
    <xf numFmtId="0" fontId="4" fillId="6" borderId="44" xfId="4" applyBorder="1" applyAlignment="1">
      <alignment horizontal="left"/>
    </xf>
    <xf numFmtId="0" fontId="1" fillId="2" borderId="45" xfId="1" applyBorder="1" applyAlignment="1">
      <alignment horizontal="center" vertical="center"/>
    </xf>
    <xf numFmtId="0" fontId="2" fillId="3" borderId="22" xfId="2" applyBorder="1" applyAlignment="1">
      <alignment horizontal="center" vertical="center"/>
    </xf>
    <xf numFmtId="0" fontId="0" fillId="14" borderId="24" xfId="0" applyFill="1" applyBorder="1" applyAlignment="1">
      <alignment horizontal="center" vertical="center"/>
    </xf>
    <xf numFmtId="0" fontId="0" fillId="14" borderId="6" xfId="0" applyFill="1" applyBorder="1" applyAlignment="1">
      <alignment horizontal="center" vertical="center"/>
    </xf>
    <xf numFmtId="0" fontId="0" fillId="16" borderId="20" xfId="0" applyFill="1" applyBorder="1" applyAlignment="1">
      <alignment horizontal="center" vertical="center"/>
    </xf>
    <xf numFmtId="0" fontId="4" fillId="6" borderId="46" xfId="4" applyBorder="1"/>
    <xf numFmtId="10" fontId="0" fillId="0" borderId="47" xfId="9" applyNumberFormat="1" applyFont="1" applyBorder="1"/>
    <xf numFmtId="10" fontId="0" fillId="0" borderId="30" xfId="9" applyNumberFormat="1" applyFont="1" applyBorder="1"/>
    <xf numFmtId="0" fontId="4" fillId="6" borderId="23" xfId="4" applyBorder="1"/>
    <xf numFmtId="0" fontId="4" fillId="6" borderId="4" xfId="4" applyBorder="1"/>
    <xf numFmtId="0" fontId="0" fillId="0" borderId="0" xfId="0" applyAlignment="1"/>
    <xf numFmtId="0" fontId="0" fillId="4" borderId="0" xfId="0" applyFill="1" applyAlignment="1"/>
    <xf numFmtId="10" fontId="0" fillId="13" borderId="23" xfId="0" applyNumberFormat="1" applyFill="1" applyBorder="1"/>
    <xf numFmtId="10" fontId="0" fillId="11" borderId="2" xfId="0" applyNumberFormat="1" applyFill="1" applyBorder="1" applyAlignment="1"/>
    <xf numFmtId="10" fontId="0" fillId="13" borderId="19" xfId="0" applyNumberFormat="1" applyFill="1" applyBorder="1" applyAlignment="1"/>
    <xf numFmtId="10" fontId="0" fillId="13" borderId="5" xfId="0" applyNumberFormat="1" applyFill="1" applyBorder="1" applyAlignment="1"/>
    <xf numFmtId="10" fontId="0" fillId="11" borderId="19" xfId="0" applyNumberFormat="1" applyFill="1" applyBorder="1" applyAlignment="1"/>
    <xf numFmtId="10" fontId="0" fillId="11" borderId="24" xfId="0" applyNumberFormat="1" applyFill="1" applyBorder="1" applyAlignment="1"/>
    <xf numFmtId="0" fontId="0" fillId="15" borderId="45" xfId="0" applyFill="1" applyBorder="1" applyAlignment="1">
      <alignment horizontal="center" vertical="center"/>
    </xf>
    <xf numFmtId="0" fontId="0" fillId="15" borderId="22" xfId="0" applyFill="1" applyBorder="1" applyAlignment="1">
      <alignment horizontal="center" vertical="center"/>
    </xf>
    <xf numFmtId="10" fontId="0" fillId="11" borderId="3" xfId="0" applyNumberFormat="1" applyFill="1" applyBorder="1" applyAlignment="1"/>
    <xf numFmtId="10" fontId="0" fillId="13" borderId="4" xfId="0" applyNumberFormat="1" applyFill="1" applyBorder="1"/>
    <xf numFmtId="2" fontId="1" fillId="2" borderId="16" xfId="1" applyNumberFormat="1" applyBorder="1"/>
    <xf numFmtId="2" fontId="2" fillId="3" borderId="13" xfId="2" applyNumberFormat="1" applyBorder="1"/>
    <xf numFmtId="0" fontId="4" fillId="6" borderId="2" xfId="4" applyBorder="1" applyAlignment="1">
      <alignment horizontal="center" vertical="center"/>
    </xf>
    <xf numFmtId="0" fontId="4" fillId="6" borderId="3" xfId="4" applyBorder="1" applyAlignment="1">
      <alignment horizontal="center" vertical="center"/>
    </xf>
    <xf numFmtId="2" fontId="1" fillId="2" borderId="19" xfId="1" applyNumberFormat="1" applyBorder="1" applyAlignment="1">
      <alignment horizontal="center" vertical="center"/>
    </xf>
    <xf numFmtId="2" fontId="2" fillId="3" borderId="24" xfId="2" applyNumberFormat="1" applyBorder="1" applyAlignment="1">
      <alignment horizontal="center" vertical="center"/>
    </xf>
    <xf numFmtId="2" fontId="1" fillId="2" borderId="5" xfId="1" applyNumberFormat="1" applyBorder="1" applyAlignment="1">
      <alignment horizontal="center" vertical="center"/>
    </xf>
    <xf numFmtId="2" fontId="2" fillId="3" borderId="6" xfId="2" applyNumberFormat="1" applyBorder="1" applyAlignment="1">
      <alignment horizontal="center" vertical="center"/>
    </xf>
    <xf numFmtId="0" fontId="0" fillId="14" borderId="53" xfId="0" applyFill="1" applyBorder="1" applyAlignment="1">
      <alignment horizontal="center" vertical="center"/>
    </xf>
    <xf numFmtId="0" fontId="0" fillId="15" borderId="54" xfId="0" applyFill="1" applyBorder="1" applyAlignment="1">
      <alignment horizontal="center" vertical="center"/>
    </xf>
    <xf numFmtId="10" fontId="0" fillId="11" borderId="55" xfId="0" applyNumberFormat="1" applyFill="1" applyBorder="1" applyAlignment="1"/>
    <xf numFmtId="10" fontId="0" fillId="11" borderId="56" xfId="0" applyNumberFormat="1" applyFill="1" applyBorder="1" applyAlignment="1"/>
    <xf numFmtId="10" fontId="0" fillId="11" borderId="57" xfId="0" applyNumberFormat="1" applyFill="1" applyBorder="1" applyAlignment="1"/>
    <xf numFmtId="10" fontId="0" fillId="13" borderId="58" xfId="0" applyNumberFormat="1" applyFill="1" applyBorder="1"/>
    <xf numFmtId="10" fontId="0" fillId="13" borderId="59" xfId="0" applyNumberFormat="1" applyFill="1" applyBorder="1" applyAlignment="1"/>
    <xf numFmtId="10" fontId="0" fillId="13" borderId="60" xfId="0" applyNumberFormat="1" applyFill="1" applyBorder="1" applyAlignment="1"/>
    <xf numFmtId="10" fontId="0" fillId="12" borderId="20" xfId="0" applyNumberFormat="1" applyFill="1" applyBorder="1"/>
    <xf numFmtId="10" fontId="0" fillId="12" borderId="20" xfId="0" applyNumberFormat="1" applyFill="1" applyBorder="1" applyAlignment="1"/>
    <xf numFmtId="0" fontId="4" fillId="6" borderId="17" xfId="4" applyBorder="1" applyAlignment="1">
      <alignment horizontal="center" vertical="center"/>
    </xf>
    <xf numFmtId="0" fontId="4" fillId="6" borderId="61" xfId="4" applyBorder="1" applyAlignment="1">
      <alignment horizontal="center" vertical="center"/>
    </xf>
    <xf numFmtId="0" fontId="0" fillId="17" borderId="1" xfId="0" applyFill="1" applyBorder="1" applyAlignment="1">
      <alignment horizontal="center" vertical="center"/>
    </xf>
    <xf numFmtId="10" fontId="0" fillId="17" borderId="6" xfId="0" applyNumberFormat="1" applyFill="1" applyBorder="1" applyAlignment="1">
      <alignment horizontal="center" vertical="center"/>
    </xf>
    <xf numFmtId="10" fontId="0" fillId="17" borderId="3" xfId="0" applyNumberFormat="1" applyFill="1" applyBorder="1" applyAlignment="1">
      <alignment horizontal="center" vertical="center"/>
    </xf>
    <xf numFmtId="0" fontId="0" fillId="17" borderId="4" xfId="0" applyFill="1" applyBorder="1" applyAlignment="1">
      <alignment horizontal="center" vertical="center"/>
    </xf>
    <xf numFmtId="0" fontId="0" fillId="9" borderId="50" xfId="0" applyFill="1" applyBorder="1" applyAlignment="1">
      <alignment horizontal="center"/>
    </xf>
    <xf numFmtId="0" fontId="0" fillId="9" borderId="51" xfId="0" applyFill="1" applyBorder="1" applyAlignment="1">
      <alignment horizontal="center"/>
    </xf>
    <xf numFmtId="0" fontId="0" fillId="9" borderId="52" xfId="0" applyFill="1" applyBorder="1" applyAlignment="1">
      <alignment horizontal="center"/>
    </xf>
    <xf numFmtId="0" fontId="2" fillId="3" borderId="20" xfId="2" applyFont="1" applyBorder="1" applyAlignment="1">
      <alignment horizontal="center" vertical="center"/>
    </xf>
    <xf numFmtId="0" fontId="5" fillId="7" borderId="64" xfId="5" applyBorder="1"/>
    <xf numFmtId="10" fontId="0" fillId="17" borderId="23" xfId="0" applyNumberFormat="1" applyFill="1" applyBorder="1" applyAlignment="1">
      <alignment horizontal="center" vertical="center"/>
    </xf>
    <xf numFmtId="10" fontId="0" fillId="17" borderId="24" xfId="0" applyNumberFormat="1" applyFill="1" applyBorder="1" applyAlignment="1">
      <alignment horizontal="center" vertical="center"/>
    </xf>
    <xf numFmtId="10" fontId="0" fillId="17" borderId="4" xfId="0" applyNumberFormat="1" applyFill="1" applyBorder="1" applyAlignment="1">
      <alignment horizontal="center" vertical="center"/>
    </xf>
    <xf numFmtId="0" fontId="0" fillId="0" borderId="27" xfId="0" applyBorder="1" applyAlignment="1">
      <alignment horizontal="center" vertical="center"/>
    </xf>
    <xf numFmtId="0" fontId="0" fillId="0" borderId="40" xfId="0" applyBorder="1" applyAlignment="1">
      <alignment horizontal="center" vertical="center"/>
    </xf>
    <xf numFmtId="0" fontId="0" fillId="0" borderId="28" xfId="0" applyBorder="1" applyAlignment="1">
      <alignment horizontal="center" vertical="center"/>
    </xf>
    <xf numFmtId="0" fontId="8" fillId="8" borderId="8" xfId="8" applyBorder="1" applyAlignment="1">
      <alignment horizontal="center"/>
    </xf>
    <xf numFmtId="0" fontId="8" fillId="8" borderId="9" xfId="8" applyBorder="1" applyAlignment="1">
      <alignment horizontal="center"/>
    </xf>
    <xf numFmtId="0" fontId="8" fillId="8" borderId="7" xfId="8" applyBorder="1" applyAlignment="1">
      <alignment horizontal="center"/>
    </xf>
    <xf numFmtId="0" fontId="8" fillId="8" borderId="12" xfId="8" applyBorder="1" applyAlignment="1">
      <alignment horizontal="center"/>
    </xf>
    <xf numFmtId="0" fontId="8" fillId="8" borderId="13" xfId="8" applyBorder="1" applyAlignment="1">
      <alignment horizontal="center"/>
    </xf>
    <xf numFmtId="0" fontId="8" fillId="8" borderId="11" xfId="8" applyBorder="1" applyAlignment="1">
      <alignment horizontal="center"/>
    </xf>
    <xf numFmtId="0" fontId="9" fillId="8" borderId="8" xfId="8" applyFont="1" applyBorder="1" applyAlignment="1">
      <alignment horizontal="center" vertical="center"/>
    </xf>
    <xf numFmtId="0" fontId="9" fillId="8" borderId="12" xfId="8" applyFont="1" applyBorder="1" applyAlignment="1">
      <alignment horizontal="center" vertical="center"/>
    </xf>
    <xf numFmtId="0" fontId="4" fillId="6" borderId="23" xfId="4" applyBorder="1" applyAlignment="1">
      <alignment horizontal="center"/>
    </xf>
    <xf numFmtId="0" fontId="4" fillId="6" borderId="19" xfId="4" applyBorder="1" applyAlignment="1">
      <alignment horizontal="center"/>
    </xf>
    <xf numFmtId="0" fontId="4" fillId="6" borderId="1" xfId="4" applyBorder="1" applyAlignment="1">
      <alignment horizontal="center"/>
    </xf>
    <xf numFmtId="0" fontId="4" fillId="6" borderId="2" xfId="4" applyBorder="1" applyAlignment="1">
      <alignment horizontal="center"/>
    </xf>
    <xf numFmtId="0" fontId="0" fillId="10" borderId="27" xfId="0" applyFill="1" applyBorder="1" applyAlignment="1">
      <alignment horizontal="center"/>
    </xf>
    <xf numFmtId="0" fontId="0" fillId="10" borderId="40" xfId="0" applyFill="1" applyBorder="1" applyAlignment="1">
      <alignment horizontal="center"/>
    </xf>
    <xf numFmtId="0" fontId="0" fillId="0" borderId="7" xfId="0" applyBorder="1" applyAlignment="1">
      <alignment horizontal="center"/>
    </xf>
    <xf numFmtId="0" fontId="0" fillId="0" borderId="8" xfId="0" applyBorder="1" applyAlignment="1">
      <alignment horizontal="center"/>
    </xf>
    <xf numFmtId="0" fontId="0" fillId="0" borderId="9" xfId="0" applyBorder="1" applyAlignment="1">
      <alignment horizontal="center"/>
    </xf>
    <xf numFmtId="0" fontId="0" fillId="4" borderId="0" xfId="0" applyFill="1" applyAlignment="1">
      <alignment horizontal="center"/>
    </xf>
    <xf numFmtId="0" fontId="4" fillId="6" borderId="32" xfId="4" applyBorder="1" applyAlignment="1">
      <alignment horizontal="center" wrapText="1"/>
    </xf>
    <xf numFmtId="0" fontId="4" fillId="6" borderId="33" xfId="4" applyBorder="1" applyAlignment="1">
      <alignment horizontal="center" wrapText="1"/>
    </xf>
    <xf numFmtId="0" fontId="4" fillId="6" borderId="31" xfId="4" applyBorder="1" applyAlignment="1">
      <alignment horizontal="center" vertical="center"/>
    </xf>
    <xf numFmtId="0" fontId="4" fillId="6" borderId="34" xfId="4" applyBorder="1" applyAlignment="1">
      <alignment horizontal="center" vertical="center"/>
    </xf>
    <xf numFmtId="0" fontId="1" fillId="2" borderId="15" xfId="1" applyBorder="1" applyAlignment="1">
      <alignment horizontal="left"/>
    </xf>
    <xf numFmtId="0" fontId="1" fillId="2" borderId="14" xfId="1" applyBorder="1" applyAlignment="1">
      <alignment horizontal="left"/>
    </xf>
    <xf numFmtId="0" fontId="2" fillId="3" borderId="11" xfId="2" applyBorder="1" applyAlignment="1">
      <alignment horizontal="left"/>
    </xf>
    <xf numFmtId="0" fontId="2" fillId="3" borderId="12" xfId="2" applyBorder="1" applyAlignment="1">
      <alignment horizontal="left"/>
    </xf>
    <xf numFmtId="0" fontId="0" fillId="14" borderId="7" xfId="0" applyFill="1" applyBorder="1" applyAlignment="1">
      <alignment horizontal="center" vertical="center" textRotation="90"/>
    </xf>
    <xf numFmtId="0" fontId="0" fillId="14" borderId="10" xfId="0" applyFill="1" applyBorder="1" applyAlignment="1">
      <alignment horizontal="center" vertical="center" textRotation="90"/>
    </xf>
    <xf numFmtId="0" fontId="0" fillId="14" borderId="11" xfId="0" applyFill="1" applyBorder="1" applyAlignment="1">
      <alignment horizontal="center" vertical="center" textRotation="90"/>
    </xf>
    <xf numFmtId="0" fontId="0" fillId="15" borderId="7" xfId="0" applyFill="1" applyBorder="1" applyAlignment="1">
      <alignment horizontal="center"/>
    </xf>
    <xf numFmtId="0" fontId="0" fillId="15" borderId="8" xfId="0" applyFill="1" applyBorder="1" applyAlignment="1">
      <alignment horizontal="center"/>
    </xf>
    <xf numFmtId="0" fontId="0" fillId="15" borderId="9" xfId="0" applyFill="1" applyBorder="1" applyAlignment="1">
      <alignment horizontal="center"/>
    </xf>
    <xf numFmtId="0" fontId="4" fillId="6" borderId="4" xfId="4" applyBorder="1" applyAlignment="1">
      <alignment horizontal="center"/>
    </xf>
    <xf numFmtId="0" fontId="4" fillId="6" borderId="5" xfId="4" applyBorder="1" applyAlignment="1">
      <alignment horizontal="center"/>
    </xf>
    <xf numFmtId="0" fontId="0" fillId="17" borderId="1" xfId="0" applyFill="1" applyBorder="1" applyAlignment="1">
      <alignment horizontal="center" wrapText="1"/>
    </xf>
    <xf numFmtId="0" fontId="0" fillId="17" borderId="3" xfId="0" applyFill="1" applyBorder="1" applyAlignment="1">
      <alignment horizontal="center" wrapText="1"/>
    </xf>
    <xf numFmtId="49" fontId="0" fillId="17" borderId="62" xfId="0" applyNumberFormat="1" applyFill="1" applyBorder="1" applyAlignment="1">
      <alignment horizontal="center"/>
    </xf>
    <xf numFmtId="49" fontId="0" fillId="17" borderId="63" xfId="0" applyNumberFormat="1" applyFill="1" applyBorder="1" applyAlignment="1">
      <alignment horizontal="center"/>
    </xf>
    <xf numFmtId="49" fontId="0" fillId="17" borderId="15" xfId="0" applyNumberFormat="1" applyFill="1" applyBorder="1" applyAlignment="1">
      <alignment horizontal="center" wrapText="1"/>
    </xf>
    <xf numFmtId="49" fontId="0" fillId="17" borderId="16" xfId="0" applyNumberFormat="1" applyFill="1" applyBorder="1" applyAlignment="1">
      <alignment horizontal="center" wrapText="1"/>
    </xf>
    <xf numFmtId="0" fontId="0" fillId="17" borderId="48" xfId="0" applyFill="1" applyBorder="1" applyAlignment="1">
      <alignment horizontal="center" wrapText="1"/>
    </xf>
    <xf numFmtId="0" fontId="0" fillId="17" borderId="49" xfId="0" applyFill="1" applyBorder="1" applyAlignment="1">
      <alignment horizontal="center" wrapText="1"/>
    </xf>
    <xf numFmtId="10" fontId="0" fillId="17" borderId="4" xfId="0" applyNumberFormat="1" applyFill="1" applyBorder="1" applyAlignment="1">
      <alignment horizontal="center"/>
    </xf>
    <xf numFmtId="0" fontId="0" fillId="17" borderId="5" xfId="0" applyFill="1" applyBorder="1" applyAlignment="1">
      <alignment horizontal="center"/>
    </xf>
    <xf numFmtId="10" fontId="0" fillId="17" borderId="5" xfId="0" applyNumberFormat="1" applyFill="1" applyBorder="1" applyAlignment="1">
      <alignment horizontal="center"/>
    </xf>
    <xf numFmtId="0" fontId="0" fillId="17" borderId="6" xfId="0" applyFill="1" applyBorder="1" applyAlignment="1">
      <alignment horizontal="center"/>
    </xf>
    <xf numFmtId="0" fontId="0" fillId="17" borderId="2" xfId="0" applyFill="1" applyBorder="1" applyAlignment="1">
      <alignment horizontal="center"/>
    </xf>
    <xf numFmtId="0" fontId="0" fillId="17" borderId="3" xfId="0" applyFill="1" applyBorder="1" applyAlignment="1">
      <alignment horizontal="center"/>
    </xf>
    <xf numFmtId="0" fontId="0" fillId="17" borderId="1" xfId="0" applyFill="1" applyBorder="1" applyAlignment="1">
      <alignment horizontal="center"/>
    </xf>
    <xf numFmtId="10" fontId="0" fillId="17" borderId="27" xfId="0" applyNumberFormat="1" applyFill="1" applyBorder="1" applyAlignment="1">
      <alignment horizontal="center" vertical="center"/>
    </xf>
    <xf numFmtId="0" fontId="0" fillId="17" borderId="28" xfId="0" applyFill="1" applyBorder="1" applyAlignment="1">
      <alignment horizontal="center" vertical="center"/>
    </xf>
    <xf numFmtId="0" fontId="0" fillId="9" borderId="27" xfId="0" applyFill="1" applyBorder="1" applyAlignment="1">
      <alignment horizontal="center" vertical="center"/>
    </xf>
    <xf numFmtId="0" fontId="0" fillId="9" borderId="40" xfId="0" applyFill="1" applyBorder="1" applyAlignment="1">
      <alignment horizontal="center" vertical="center"/>
    </xf>
    <xf numFmtId="0" fontId="0" fillId="9" borderId="28" xfId="0" applyFill="1" applyBorder="1" applyAlignment="1">
      <alignment horizontal="center" vertical="center"/>
    </xf>
    <xf numFmtId="0" fontId="0" fillId="9" borderId="0" xfId="0" applyFill="1" applyAlignment="1">
      <alignment horizontal="center"/>
    </xf>
    <xf numFmtId="0" fontId="8" fillId="8" borderId="7" xfId="8" applyFont="1" applyBorder="1" applyAlignment="1">
      <alignment horizontal="center"/>
    </xf>
    <xf numFmtId="0" fontId="8" fillId="8" borderId="8" xfId="8" applyFont="1" applyBorder="1" applyAlignment="1">
      <alignment horizontal="center"/>
    </xf>
    <xf numFmtId="0" fontId="10" fillId="8" borderId="8" xfId="8" applyFont="1" applyBorder="1" applyAlignment="1">
      <alignment horizontal="center" vertical="center"/>
    </xf>
    <xf numFmtId="0" fontId="10" fillId="8" borderId="12" xfId="8" applyFont="1" applyBorder="1" applyAlignment="1">
      <alignment horizontal="center" vertical="center"/>
    </xf>
    <xf numFmtId="0" fontId="8" fillId="8" borderId="9" xfId="8" applyFont="1" applyBorder="1" applyAlignment="1">
      <alignment horizontal="center"/>
    </xf>
    <xf numFmtId="0" fontId="11" fillId="9" borderId="11" xfId="8" applyFont="1" applyFill="1" applyBorder="1" applyAlignment="1">
      <alignment horizontal="center"/>
    </xf>
    <xf numFmtId="0" fontId="11" fillId="9" borderId="12" xfId="8" applyFont="1" applyFill="1" applyBorder="1" applyAlignment="1">
      <alignment horizontal="center"/>
    </xf>
    <xf numFmtId="0" fontId="11" fillId="9" borderId="13" xfId="8" applyFont="1" applyFill="1" applyBorder="1" applyAlignment="1">
      <alignment horizontal="center"/>
    </xf>
    <xf numFmtId="0" fontId="7" fillId="0" borderId="0" xfId="7" applyBorder="1" applyAlignment="1">
      <alignment horizontal="center" vertical="center"/>
    </xf>
    <xf numFmtId="0" fontId="7" fillId="0" borderId="37" xfId="7" applyAlignment="1">
      <alignment horizontal="center" vertical="center"/>
    </xf>
    <xf numFmtId="0" fontId="5" fillId="7" borderId="18" xfId="5" applyAlignment="1">
      <alignment horizontal="center"/>
    </xf>
    <xf numFmtId="0" fontId="3" fillId="9" borderId="27" xfId="3" applyFill="1" applyBorder="1" applyAlignment="1">
      <alignment horizontal="center"/>
    </xf>
    <xf numFmtId="0" fontId="3" fillId="9" borderId="28" xfId="3" applyFill="1" applyBorder="1" applyAlignment="1">
      <alignment horizontal="center"/>
    </xf>
    <xf numFmtId="0" fontId="3" fillId="5" borderId="27" xfId="3" applyBorder="1" applyAlignment="1">
      <alignment horizontal="center"/>
    </xf>
    <xf numFmtId="0" fontId="3" fillId="5" borderId="28" xfId="3" applyBorder="1" applyAlignment="1">
      <alignment horizontal="center"/>
    </xf>
    <xf numFmtId="0" fontId="6" fillId="7" borderId="31" xfId="6" applyBorder="1" applyAlignment="1">
      <alignment horizontal="center"/>
    </xf>
    <xf numFmtId="0" fontId="6" fillId="7" borderId="33" xfId="6" applyBorder="1" applyAlignment="1">
      <alignment horizontal="center"/>
    </xf>
    <xf numFmtId="0" fontId="6" fillId="7" borderId="1" xfId="6" applyBorder="1" applyAlignment="1">
      <alignment horizontal="center"/>
    </xf>
    <xf numFmtId="0" fontId="6" fillId="7" borderId="3" xfId="6" applyBorder="1" applyAlignment="1">
      <alignment horizontal="center"/>
    </xf>
    <xf numFmtId="0" fontId="0" fillId="0" borderId="0" xfId="0" applyAlignment="1">
      <alignment horizontal="center" vertical="center" wrapText="1"/>
    </xf>
  </cellXfs>
  <cellStyles count="10">
    <cellStyle name="Buena" xfId="1" builtinId="26"/>
    <cellStyle name="Cálculo" xfId="6" builtinId="22"/>
    <cellStyle name="Celda vinculada" xfId="7" builtinId="24"/>
    <cellStyle name="Énfasis1" xfId="8" builtinId="29"/>
    <cellStyle name="Entrada" xfId="4" builtinId="20"/>
    <cellStyle name="Incorrecto" xfId="2" builtinId="27"/>
    <cellStyle name="Neutral" xfId="3" builtinId="28"/>
    <cellStyle name="Normal" xfId="0" builtinId="0"/>
    <cellStyle name="Porcentual" xfId="9" builtinId="5"/>
    <cellStyle name="Salida" xfId="5" builtinId="21"/>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Hoja1"/>
  <dimension ref="A1:AG34"/>
  <sheetViews>
    <sheetView tabSelected="1" workbookViewId="0">
      <selection activeCell="AF17" sqref="AF17"/>
    </sheetView>
  </sheetViews>
  <sheetFormatPr baseColWidth="10" defaultRowHeight="15"/>
  <cols>
    <col min="2" max="2" width="3.7109375" bestFit="1" customWidth="1"/>
    <col min="3" max="3" width="4" bestFit="1" customWidth="1"/>
    <col min="4" max="4" width="7.140625" bestFit="1" customWidth="1"/>
    <col min="5" max="14" width="7.140625" customWidth="1"/>
    <col min="15" max="15" width="2.42578125" customWidth="1"/>
    <col min="16" max="16" width="3.7109375" bestFit="1" customWidth="1"/>
    <col min="17" max="17" width="4" bestFit="1" customWidth="1"/>
    <col min="18" max="18" width="12.5703125" customWidth="1"/>
    <col min="19" max="25" width="7.7109375" style="74" customWidth="1"/>
    <col min="26" max="26" width="9.28515625" style="74" customWidth="1"/>
    <col min="27" max="27" width="9.42578125" style="74" bestFit="1" customWidth="1"/>
    <col min="28" max="28" width="10.42578125" style="74" customWidth="1"/>
    <col min="29" max="29" width="11.85546875" bestFit="1" customWidth="1"/>
  </cols>
  <sheetData>
    <row r="1" spans="1:33" ht="15.75" thickBot="1"/>
    <row r="2" spans="1:33" ht="15.75" thickBot="1">
      <c r="F2" s="123" t="s">
        <v>32</v>
      </c>
      <c r="G2" s="121"/>
      <c r="H2" s="121"/>
      <c r="I2" s="127" t="s">
        <v>31</v>
      </c>
      <c r="J2" s="121" t="s">
        <v>33</v>
      </c>
      <c r="K2" s="121"/>
      <c r="L2" s="122"/>
      <c r="N2" s="133" t="s">
        <v>36</v>
      </c>
      <c r="O2" s="134"/>
      <c r="P2" s="134"/>
      <c r="Q2" s="134"/>
      <c r="R2" s="134"/>
      <c r="S2" s="54">
        <v>37</v>
      </c>
    </row>
    <row r="3" spans="1:33" ht="15.75" thickBot="1">
      <c r="F3" s="126" t="str">
        <f>Cálculos!I4</f>
        <v>New York City</v>
      </c>
      <c r="G3" s="124"/>
      <c r="H3" s="124"/>
      <c r="I3" s="128"/>
      <c r="J3" s="124" t="str">
        <f>Cálculos!M4</f>
        <v>Orlando City</v>
      </c>
      <c r="K3" s="124"/>
      <c r="L3" s="125"/>
    </row>
    <row r="4" spans="1:33" ht="15.75" thickBot="1">
      <c r="G4" s="118" t="str">
        <f>Cálculos!J5</f>
        <v>Estados Unidos MLS</v>
      </c>
      <c r="H4" s="119"/>
      <c r="I4" s="119"/>
      <c r="J4" s="119"/>
      <c r="K4" s="120"/>
    </row>
    <row r="6" spans="1:33">
      <c r="A6" s="138"/>
      <c r="B6" s="138"/>
      <c r="C6" s="138"/>
      <c r="D6" s="138"/>
      <c r="E6" s="138"/>
      <c r="F6" s="138"/>
      <c r="G6" s="138"/>
      <c r="H6" s="138"/>
      <c r="I6" s="138"/>
      <c r="J6" s="138"/>
      <c r="K6" s="138"/>
      <c r="L6" s="138"/>
      <c r="M6" s="138"/>
      <c r="N6" s="138"/>
      <c r="O6" s="138"/>
      <c r="P6" s="138"/>
      <c r="Q6" s="138"/>
      <c r="R6" s="138"/>
      <c r="S6" s="138"/>
      <c r="T6" s="138"/>
      <c r="U6" s="138"/>
      <c r="V6" s="138"/>
      <c r="W6" s="138"/>
      <c r="X6" s="138"/>
      <c r="Y6" s="138"/>
      <c r="Z6" s="138"/>
      <c r="AA6" s="138"/>
      <c r="AB6" s="138"/>
      <c r="AC6" s="138"/>
      <c r="AD6" s="138"/>
      <c r="AE6" s="138"/>
      <c r="AF6" s="138"/>
      <c r="AG6" s="138"/>
    </row>
    <row r="7" spans="1:33" ht="15.75" thickBot="1"/>
    <row r="8" spans="1:33" ht="15.75" thickBot="1">
      <c r="D8" s="150" t="s">
        <v>81</v>
      </c>
      <c r="E8" s="151"/>
      <c r="F8" s="151"/>
      <c r="G8" s="151"/>
      <c r="H8" s="151"/>
      <c r="I8" s="151"/>
      <c r="J8" s="151"/>
      <c r="K8" s="151"/>
      <c r="L8" s="151"/>
      <c r="M8" s="151"/>
      <c r="N8" s="152"/>
      <c r="R8" s="135" t="s">
        <v>5</v>
      </c>
      <c r="S8" s="136"/>
      <c r="T8" s="136"/>
      <c r="U8" s="137"/>
      <c r="V8"/>
      <c r="W8" s="135" t="s">
        <v>6</v>
      </c>
      <c r="X8" s="136"/>
      <c r="Y8" s="136"/>
      <c r="Z8" s="137"/>
      <c r="AA8"/>
      <c r="AB8" s="106" t="s">
        <v>89</v>
      </c>
      <c r="AC8" s="108">
        <f>SUM(E12:N20,F11:N11,G10:N10,D13:D20)</f>
        <v>0.38868805071625023</v>
      </c>
    </row>
    <row r="9" spans="1:33" ht="15.75" customHeight="1" thickBot="1">
      <c r="C9" s="68" t="s">
        <v>79</v>
      </c>
      <c r="D9" s="95">
        <v>0</v>
      </c>
      <c r="E9" s="82">
        <v>1</v>
      </c>
      <c r="F9" s="82">
        <v>2</v>
      </c>
      <c r="G9" s="82">
        <v>3</v>
      </c>
      <c r="H9" s="82">
        <v>4</v>
      </c>
      <c r="I9" s="82">
        <v>5</v>
      </c>
      <c r="J9" s="82">
        <v>6</v>
      </c>
      <c r="K9" s="82">
        <v>7</v>
      </c>
      <c r="L9" s="82">
        <v>8</v>
      </c>
      <c r="M9" s="82">
        <v>9</v>
      </c>
      <c r="N9" s="83">
        <v>10</v>
      </c>
      <c r="R9" s="143" t="s">
        <v>2</v>
      </c>
      <c r="S9" s="144"/>
      <c r="T9" s="11" t="s">
        <v>4</v>
      </c>
      <c r="U9" s="86">
        <f>Cálculos!E35</f>
        <v>3</v>
      </c>
      <c r="V9"/>
      <c r="W9" s="143" t="s">
        <v>2</v>
      </c>
      <c r="X9" s="144"/>
      <c r="Y9" s="11" t="s">
        <v>4</v>
      </c>
      <c r="Z9" s="86">
        <f>Cálculos!J35</f>
        <v>1.25</v>
      </c>
      <c r="AA9"/>
      <c r="AB9" s="109" t="s">
        <v>90</v>
      </c>
      <c r="AC9" s="107">
        <f>SUM(D10:D12,E11,E10,F10)</f>
        <v>0.61131020882462073</v>
      </c>
    </row>
    <row r="10" spans="1:33" ht="15.75" customHeight="1" thickBot="1">
      <c r="B10" s="147" t="s">
        <v>80</v>
      </c>
      <c r="C10" s="94">
        <v>0</v>
      </c>
      <c r="D10" s="102">
        <f>Cálculos!L11*Cálculos!M11</f>
        <v>0.10618022599702681</v>
      </c>
      <c r="E10" s="96">
        <f>Cálculos!M12*Cálculos!L11</f>
        <v>4.6195293128576606E-2</v>
      </c>
      <c r="F10" s="77">
        <f>Cálculos!M13*Cálculos!L11</f>
        <v>1.0048976102644911E-2</v>
      </c>
      <c r="G10" s="77">
        <f>Cálculos!M14*Cálculos!L11</f>
        <v>1.4573190451887641E-3</v>
      </c>
      <c r="H10" s="77">
        <f>Cálculos!M15*Cálculos!L11</f>
        <v>1.5850710394098571E-4</v>
      </c>
      <c r="I10" s="77">
        <f>Cálculos!M16*Cálculos!L11</f>
        <v>1.3792176576683174E-5</v>
      </c>
      <c r="J10" s="77">
        <f>Cálculos!M17*Cálculos!L11</f>
        <v>1.0000820677897973E-6</v>
      </c>
      <c r="K10" s="77">
        <f>Cálculos!M18*Cálculos!L11</f>
        <v>6.2157234268939162E-8</v>
      </c>
      <c r="L10" s="77">
        <f>Cálculos!M19*Cálculos!L11</f>
        <v>3.3803041363789973E-9</v>
      </c>
      <c r="M10" s="77">
        <f>Cálculos!M20*Cálculos!L11</f>
        <v>1.6340575551038447E-10</v>
      </c>
      <c r="N10" s="84">
        <f>Cálculos!M21*Cálculos!L11</f>
        <v>7.109211441036207E-12</v>
      </c>
      <c r="R10" s="145" t="s">
        <v>3</v>
      </c>
      <c r="S10" s="146"/>
      <c r="T10" s="12" t="s">
        <v>4</v>
      </c>
      <c r="U10" s="87">
        <f>Cálculos!E36</f>
        <v>0.4</v>
      </c>
      <c r="V10"/>
      <c r="W10" s="145" t="s">
        <v>3</v>
      </c>
      <c r="X10" s="146"/>
      <c r="Y10" s="12" t="s">
        <v>4</v>
      </c>
      <c r="Z10" s="87">
        <f>Cálculos!J36</f>
        <v>1.25</v>
      </c>
      <c r="AA10"/>
    </row>
    <row r="11" spans="1:33" ht="15.75" thickBot="1">
      <c r="B11" s="148"/>
      <c r="C11" s="66">
        <v>1</v>
      </c>
      <c r="D11" s="99">
        <f>Cálculos!L12*Cálculos!M11</f>
        <v>0.1919264876385107</v>
      </c>
      <c r="E11" s="103">
        <f>Cálculos!L12*Cálculos!M12</f>
        <v>8.3500484881689735E-2</v>
      </c>
      <c r="F11" s="97">
        <f>Cálculos!L12*Cálculos!M13</f>
        <v>1.8164066516471466E-2</v>
      </c>
      <c r="G11" s="80">
        <f>Cálculos!L12*Cálculos!M14</f>
        <v>2.6341828065012734E-3</v>
      </c>
      <c r="H11" s="80">
        <f>Cálculos!L12*Cálculos!M15</f>
        <v>2.8651014291491126E-4</v>
      </c>
      <c r="I11" s="80">
        <f>Cálculos!L12*Cálculos!M16</f>
        <v>2.4930103344544229E-5</v>
      </c>
      <c r="J11" s="80">
        <f>Cálculos!L12*Cálculos!M17</f>
        <v>1.8077022987927093E-6</v>
      </c>
      <c r="K11" s="80">
        <f>Cálculos!L12*Cálculos!M18</f>
        <v>1.1235255474871199E-7</v>
      </c>
      <c r="L11" s="80">
        <f>Cálculos!L12*Cálculos!M19</f>
        <v>6.1100821170159939E-9</v>
      </c>
      <c r="M11" s="80">
        <f>Cálculos!L12*Cálculos!M20</f>
        <v>2.9536471994233164E-10</v>
      </c>
      <c r="N11" s="81">
        <f>Cálculos!L12*Cálculos!M21</f>
        <v>1.2850283270218325E-11</v>
      </c>
      <c r="S11"/>
      <c r="T11"/>
      <c r="U11"/>
      <c r="V11"/>
      <c r="W11"/>
      <c r="X11"/>
      <c r="Y11"/>
      <c r="Z11"/>
      <c r="AA11"/>
      <c r="AB11" s="155" t="s">
        <v>91</v>
      </c>
      <c r="AC11" s="156"/>
    </row>
    <row r="12" spans="1:33" ht="15.75" customHeight="1" thickBot="1">
      <c r="B12" s="148"/>
      <c r="C12" s="66">
        <v>2</v>
      </c>
      <c r="D12" s="76">
        <f>Cálculos!L13*Cálculos!M11</f>
        <v>0.17345874107617199</v>
      </c>
      <c r="E12" s="100">
        <f>Cálculos!L13*Cálculos!M12</f>
        <v>7.546581592275016E-2</v>
      </c>
      <c r="F12" s="103">
        <f>Cálculos!L13*Cálculos!M13</f>
        <v>1.6416265152026821E-2</v>
      </c>
      <c r="G12" s="97">
        <f>Cálculos!L13*Cálculos!M14</f>
        <v>2.3807137774584353E-3</v>
      </c>
      <c r="H12" s="80">
        <f>Cálculos!L13*Cálculos!M15</f>
        <v>2.5894127124953759E-4</v>
      </c>
      <c r="I12" s="80">
        <f>Cálculos!L13*Cálculos!M16</f>
        <v>2.2531253472362367E-5</v>
      </c>
      <c r="J12" s="80">
        <f>Cálculos!L13*Cálculos!M17</f>
        <v>1.633759721480821E-6</v>
      </c>
      <c r="K12" s="80">
        <f>Cálculos!L13*Cálculos!M18</f>
        <v>1.015416524482514E-7</v>
      </c>
      <c r="L12" s="80">
        <f>Cálculos!L13*Cálculos!M19</f>
        <v>5.5221515535980885E-9</v>
      </c>
      <c r="M12" s="80">
        <f>Cálculos!L13*Cálculos!M20</f>
        <v>2.6694383412054259E-10</v>
      </c>
      <c r="N12" s="81">
        <f>Cálculos!L13*Cálculos!M21</f>
        <v>1.1613790185763864E-11</v>
      </c>
      <c r="R12" s="141" t="s">
        <v>28</v>
      </c>
      <c r="S12" s="139" t="s">
        <v>7</v>
      </c>
      <c r="T12" s="139"/>
      <c r="U12" s="139"/>
      <c r="V12" s="139"/>
      <c r="W12" s="139"/>
      <c r="X12" s="139"/>
      <c r="Y12" s="140"/>
      <c r="Z12"/>
      <c r="AA12"/>
      <c r="AB12" s="115" t="s">
        <v>97</v>
      </c>
      <c r="AC12" s="116" t="s">
        <v>98</v>
      </c>
    </row>
    <row r="13" spans="1:33" ht="15.75" customHeight="1" thickBot="1">
      <c r="B13" s="148"/>
      <c r="C13" s="66">
        <v>3</v>
      </c>
      <c r="D13" s="76">
        <f>Cálculos!L14*Cálculos!M11</f>
        <v>0.10451201125992378</v>
      </c>
      <c r="E13" s="78">
        <f>Cálculos!L14*Cálculos!M12</f>
        <v>4.5469511392304506E-2</v>
      </c>
      <c r="F13" s="100">
        <f>Cálculos!L14*Cálculos!M13</f>
        <v>9.8910950106636426E-3</v>
      </c>
      <c r="G13" s="103">
        <f>Cálculos!L14*Cálculos!M14</f>
        <v>1.434422869511827E-3</v>
      </c>
      <c r="H13" s="97">
        <f>Cálculos!L14*Cálculos!M15</f>
        <v>1.5601677314495521E-4</v>
      </c>
      <c r="I13" s="80">
        <f>Cálculos!L14*Cálculos!M16</f>
        <v>1.3575485455470131E-5</v>
      </c>
      <c r="J13" s="80">
        <f>Cálculos!L14*Cálculos!M17</f>
        <v>9.8436961635984729E-7</v>
      </c>
      <c r="K13" s="80">
        <f>Cálculos!L14*Cálculos!M18</f>
        <v>6.1180671888784572E-8</v>
      </c>
      <c r="L13" s="80">
        <f>Cálculos!L14*Cálculos!M19</f>
        <v>3.3271956303153949E-9</v>
      </c>
      <c r="M13" s="80">
        <f>Cálculos!L14*Cálculos!M20</f>
        <v>1.6083846120572258E-10</v>
      </c>
      <c r="N13" s="81">
        <f>Cálculos!L14*Cálculos!M21</f>
        <v>6.9975174680411767E-12</v>
      </c>
      <c r="O13" s="32"/>
      <c r="R13" s="142"/>
      <c r="S13" s="104">
        <v>0</v>
      </c>
      <c r="T13" s="104">
        <v>1</v>
      </c>
      <c r="U13" s="104">
        <v>2</v>
      </c>
      <c r="V13" s="104">
        <v>3</v>
      </c>
      <c r="W13" s="104">
        <v>4</v>
      </c>
      <c r="X13" s="104">
        <v>5</v>
      </c>
      <c r="Y13" s="105">
        <v>6</v>
      </c>
      <c r="Z13"/>
      <c r="AA13" s="33"/>
      <c r="AB13" s="117">
        <f>SUM(E11:N20)</f>
        <v>0.29490179438778608</v>
      </c>
      <c r="AC13" s="107">
        <f>SUM(D10:D20,E10:N10)</f>
        <v>0.70509646515308477</v>
      </c>
    </row>
    <row r="14" spans="1:33" ht="15.75" customHeight="1" thickBot="1">
      <c r="B14" s="148"/>
      <c r="C14" s="66">
        <v>4</v>
      </c>
      <c r="D14" s="76">
        <f>Cálculos!L15*Cálculos!M11</f>
        <v>4.7227774872402609E-2</v>
      </c>
      <c r="E14" s="78">
        <f>Cálculos!L15*Cálculos!M12</f>
        <v>2.0547148808123215E-2</v>
      </c>
      <c r="F14" s="78">
        <f>Cálculos!L15*Cálculos!M13</f>
        <v>4.4696719809878419E-3</v>
      </c>
      <c r="G14" s="100">
        <f>Cálculos!L15*Cálculos!M14</f>
        <v>6.4819918339001175E-4</v>
      </c>
      <c r="H14" s="103">
        <f>Cálculos!L15*Cálculos!M15</f>
        <v>7.0502183907679853E-5</v>
      </c>
      <c r="I14" s="97">
        <f>Cálculos!L15*Cálculos!M16</f>
        <v>6.1346056127461701E-6</v>
      </c>
      <c r="J14" s="80">
        <f>Cálculos!L15*Cálculos!M17</f>
        <v>4.4482529875973311E-7</v>
      </c>
      <c r="K14" s="80">
        <f>Cálculos!L15*Cálculos!M18</f>
        <v>2.7646841388591947E-8</v>
      </c>
      <c r="L14" s="80">
        <f>Cálculos!L15*Cálculos!M19</f>
        <v>1.5035214066847896E-9</v>
      </c>
      <c r="M14" s="80">
        <f>Cálculos!L15*Cálculos!M20</f>
        <v>7.2681049240895331E-11</v>
      </c>
      <c r="N14" s="81">
        <f>Cálculos!L15*Cálculos!M21</f>
        <v>3.1620975968441471E-12</v>
      </c>
      <c r="O14" s="33"/>
      <c r="R14" s="24" t="s">
        <v>8</v>
      </c>
      <c r="S14" s="46">
        <f>Cálculos!L11</f>
        <v>0.16405513133401833</v>
      </c>
      <c r="T14" s="47">
        <f>Cálculos!L12</f>
        <v>0.29653850178181373</v>
      </c>
      <c r="U14" s="47">
        <f>Cálculos!L13</f>
        <v>0.26800467112475074</v>
      </c>
      <c r="V14" s="47">
        <f>Cálculos!L14</f>
        <v>0.16147763458056025</v>
      </c>
      <c r="W14" s="47">
        <f>Cálculos!L15</f>
        <v>7.2969884331593099E-2</v>
      </c>
      <c r="X14" s="47">
        <f>Cálculos!L16</f>
        <v>2.637940063066585E-2</v>
      </c>
      <c r="Y14" s="48">
        <f>Cálculos!L17</f>
        <v>7.9470316648139038E-3</v>
      </c>
      <c r="Z14"/>
      <c r="AA14"/>
    </row>
    <row r="15" spans="1:33" ht="15.75" thickBot="1">
      <c r="B15" s="148"/>
      <c r="C15" s="66">
        <v>5</v>
      </c>
      <c r="D15" s="76">
        <f>Cálculos!L16*Cálculos!M11</f>
        <v>1.7073350268620367E-2</v>
      </c>
      <c r="E15" s="78">
        <f>Cálculos!L16*Cálculos!M12</f>
        <v>7.4280160259582121E-3</v>
      </c>
      <c r="F15" s="78">
        <f>Cálculos!L16*Cálculos!M13</f>
        <v>1.6158346549974033E-3</v>
      </c>
      <c r="G15" s="78">
        <f>Cálculos!L16*Cálculos!M14</f>
        <v>2.3433099975070568E-4</v>
      </c>
      <c r="H15" s="100">
        <f>Cálculos!L16*Cálculos!M15</f>
        <v>2.5487300297560522E-5</v>
      </c>
      <c r="I15" s="103">
        <f>Cálculos!L16*Cálculos!M16</f>
        <v>2.2177261297877341E-6</v>
      </c>
      <c r="J15" s="97">
        <f>Cálculos!L16*Cálculos!M17</f>
        <v>1.6080914577465172E-7</v>
      </c>
      <c r="K15" s="80">
        <f>Cálculos!L16*Cálculos!M18</f>
        <v>9.9946315091852182E-9</v>
      </c>
      <c r="L15" s="80">
        <f>Cálculos!L16*Cálculos!M19</f>
        <v>5.4353921356770274E-10</v>
      </c>
      <c r="M15" s="80">
        <f>Cálculos!L16*Cálculos!M20</f>
        <v>2.6274983628453166E-11</v>
      </c>
      <c r="N15" s="81">
        <f>Cálculos!L16*Cálculos!M21</f>
        <v>1.1431324046145207E-12</v>
      </c>
      <c r="O15" s="33"/>
      <c r="R15" s="25" t="s">
        <v>9</v>
      </c>
      <c r="S15" s="49">
        <f>Cálculos!M11</f>
        <v>0.64722282767762085</v>
      </c>
      <c r="T15" s="50">
        <f>Cálculos!M12</f>
        <v>0.28158395749610782</v>
      </c>
      <c r="U15" s="50">
        <f>Cálculos!M13</f>
        <v>6.1253653091685789E-2</v>
      </c>
      <c r="V15" s="50">
        <f>Cálculos!M14</f>
        <v>8.8831055349414458E-3</v>
      </c>
      <c r="W15" s="50">
        <f>Cálculos!M15</f>
        <v>9.6618193318356643E-4</v>
      </c>
      <c r="X15" s="50">
        <f>Cálculos!M16</f>
        <v>8.4070376004284362E-5</v>
      </c>
      <c r="Y15" s="51">
        <f>Cálculos!M17</f>
        <v>6.0960121128647754E-6</v>
      </c>
      <c r="Z15"/>
      <c r="AA15" s="33"/>
      <c r="AB15" s="161" t="s">
        <v>86</v>
      </c>
      <c r="AC15" s="162"/>
    </row>
    <row r="16" spans="1:33" ht="15.75" thickBot="1">
      <c r="B16" s="148"/>
      <c r="C16" s="66">
        <v>6</v>
      </c>
      <c r="D16" s="76">
        <f>Cálculos!L17*Cálculos!M11</f>
        <v>5.1435003057444459E-3</v>
      </c>
      <c r="E16" s="78">
        <f>Cálculos!L17*Cálculos!M12</f>
        <v>2.2377566265251812E-3</v>
      </c>
      <c r="F16" s="78">
        <f>Cálculos!L17*Cálculos!M13</f>
        <v>4.8678472070515303E-4</v>
      </c>
      <c r="G16" s="78">
        <f>Cálculos!L17*Cálculos!M14</f>
        <v>7.0594320968063321E-5</v>
      </c>
      <c r="H16" s="78">
        <f>Cálculos!L17*Cálculos!M15</f>
        <v>7.6782784169809136E-6</v>
      </c>
      <c r="I16" s="100">
        <f>Cálculos!L17*Cálculos!M16</f>
        <v>6.681099401788588E-7</v>
      </c>
      <c r="J16" s="103">
        <f>Cálculos!L17*Cálculos!M17</f>
        <v>4.844520129002548E-8</v>
      </c>
      <c r="K16" s="97">
        <f>Cálculos!L17*Cálculos!M18</f>
        <v>3.0109726219218062E-9</v>
      </c>
      <c r="L16" s="80">
        <f>Cálculos!L17*Cálculos!M19</f>
        <v>1.6374607602983851E-10</v>
      </c>
      <c r="M16" s="80">
        <f>Cálculos!L17*Cálculos!M20</f>
        <v>7.9155751038955151E-12</v>
      </c>
      <c r="N16" s="81">
        <f>Cálculos!L17*Cálculos!M21</f>
        <v>3.4437891685779181E-13</v>
      </c>
      <c r="O16" s="33"/>
      <c r="S16"/>
      <c r="T16"/>
      <c r="U16"/>
      <c r="V16"/>
      <c r="W16"/>
      <c r="X16"/>
      <c r="Y16"/>
      <c r="Z16"/>
      <c r="AA16"/>
      <c r="AB16" s="159" t="s">
        <v>101</v>
      </c>
      <c r="AC16" s="160"/>
    </row>
    <row r="17" spans="1:33" ht="15.75" customHeight="1" thickBot="1">
      <c r="B17" s="148"/>
      <c r="C17" s="66">
        <v>7</v>
      </c>
      <c r="D17" s="76">
        <f>Cálculos!L18*Cálculos!M11</f>
        <v>1.3281649042325714E-3</v>
      </c>
      <c r="E17" s="78">
        <f>Cálculos!L18*Cálculos!M12</f>
        <v>5.7783797781546943E-4</v>
      </c>
      <c r="F17" s="78">
        <f>Cálculos!L18*Cálculos!M13</f>
        <v>1.2569852114817029E-4</v>
      </c>
      <c r="G17" s="78">
        <f>Cálculos!L18*Cálculos!M14</f>
        <v>1.8229006313695692E-5</v>
      </c>
      <c r="H17" s="78">
        <f>Cálculos!L18*Cálculos!M15</f>
        <v>1.982700362041577E-6</v>
      </c>
      <c r="I17" s="78">
        <f>Cálculos!L18*Cálculos!M16</f>
        <v>1.7252068085296842E-7</v>
      </c>
      <c r="J17" s="100">
        <f>Cálculos!L18*Cálculos!M17</f>
        <v>1.2509616468775849E-8</v>
      </c>
      <c r="K17" s="103">
        <f>Cálculos!L18*Cálculos!M18</f>
        <v>7.774993538107439E-10</v>
      </c>
      <c r="L17" s="97">
        <f>Cálculos!L18*Cálculos!M19</f>
        <v>4.2282838234837537E-11</v>
      </c>
      <c r="M17" s="80">
        <f>Cálculos!L18*Cálculos!M20</f>
        <v>2.0439755856667503E-12</v>
      </c>
      <c r="N17" s="81">
        <f>Cálculos!L18*Cálculos!M21</f>
        <v>8.8926210545241719E-14</v>
      </c>
      <c r="R17" s="131"/>
      <c r="S17" s="132"/>
      <c r="T17" s="88" t="s">
        <v>88</v>
      </c>
      <c r="U17" s="89" t="s">
        <v>87</v>
      </c>
      <c r="V17"/>
      <c r="Y17"/>
      <c r="AB17" s="157" t="s">
        <v>103</v>
      </c>
      <c r="AC17" s="158"/>
    </row>
    <row r="18" spans="1:33" ht="15.75" thickBot="1">
      <c r="B18" s="148"/>
      <c r="C18" s="66">
        <v>8</v>
      </c>
      <c r="D18" s="76">
        <f>Cálculos!L19*Cálculos!M11</f>
        <v>3.0009121599679277E-4</v>
      </c>
      <c r="E18" s="78">
        <f>Cálculos!L19*Cálculos!M12</f>
        <v>1.3055916540120207E-4</v>
      </c>
      <c r="F18" s="78">
        <f>Cálculos!L19*Cálculos!M13</f>
        <v>2.8400857408703047E-5</v>
      </c>
      <c r="G18" s="78">
        <f>Cálculos!L19*Cálculos!M14</f>
        <v>4.1187390614352904E-6</v>
      </c>
      <c r="H18" s="78">
        <f>Cálculos!L19*Cálculos!M15</f>
        <v>4.4797973557818909E-7</v>
      </c>
      <c r="I18" s="78">
        <f>Cálculos!L19*Cálculos!M16</f>
        <v>3.8980054913946326E-8</v>
      </c>
      <c r="J18" s="78">
        <f>Cálculos!L19*Cálculos!M17</f>
        <v>2.826475843327277E-9</v>
      </c>
      <c r="K18" s="100">
        <f>Cálculos!L19*Cálculos!M18</f>
        <v>1.7567150417711277E-10</v>
      </c>
      <c r="L18" s="103">
        <f>Cálculos!L19*Cálculos!M19</f>
        <v>9.5535639446968815E-12</v>
      </c>
      <c r="M18" s="97">
        <f>Cálculos!L19*Cálculos!M20</f>
        <v>4.6182451969313941E-13</v>
      </c>
      <c r="N18" s="81">
        <f>Cálculos!L19*Cálculos!M21</f>
        <v>2.0092365467169048E-14</v>
      </c>
      <c r="R18" s="129" t="s">
        <v>27</v>
      </c>
      <c r="S18" s="130"/>
      <c r="T18" s="90">
        <f>Cálculos!C39</f>
        <v>1.446043165467626</v>
      </c>
      <c r="U18" s="91">
        <f>Cálculos!D39</f>
        <v>1.0876623376623378</v>
      </c>
      <c r="V18"/>
      <c r="Y18"/>
    </row>
    <row r="19" spans="1:33" ht="15.75" thickBot="1">
      <c r="B19" s="148"/>
      <c r="C19" s="66">
        <v>9</v>
      </c>
      <c r="D19" s="76">
        <f>Cálculos!L20*Cálculos!M11</f>
        <v>6.0270118320698783E-5</v>
      </c>
      <c r="E19" s="78">
        <f>Cálculos!L20*Cálculos!M12</f>
        <v>2.6221415113550774E-5</v>
      </c>
      <c r="F19" s="78">
        <f>Cálculos!L20*Cálculos!M13</f>
        <v>5.7040091318438372E-6</v>
      </c>
      <c r="G19" s="78">
        <f>Cálculos!L20*Cálculos!M14</f>
        <v>8.272047875184785E-7</v>
      </c>
      <c r="H19" s="78">
        <f>Cálculos!L20*Cálculos!M15</f>
        <v>8.9971949291782581E-8</v>
      </c>
      <c r="I19" s="78">
        <f>Cálculos!L20*Cálculos!M16</f>
        <v>7.8287280552590046E-9</v>
      </c>
      <c r="J19" s="78">
        <f>Cálculos!L20*Cálculos!M17</f>
        <v>5.6766751050038237E-10</v>
      </c>
      <c r="K19" s="78">
        <f>Cálculos!L20*Cálculos!M18</f>
        <v>3.5281746942046027E-11</v>
      </c>
      <c r="L19" s="100">
        <f>Cálculos!L20*Cálculos!M19</f>
        <v>1.9187313677898412E-12</v>
      </c>
      <c r="M19" s="103">
        <f>Cálculos!L20*Cálculos!M20</f>
        <v>9.2752526437171273E-14</v>
      </c>
      <c r="N19" s="98">
        <f>Cálculos!L20*Cálculos!M21</f>
        <v>4.0353371891496588E-15</v>
      </c>
      <c r="R19" s="129" t="s">
        <v>77</v>
      </c>
      <c r="S19" s="130"/>
      <c r="T19" s="90">
        <f>Cálculos!C40</f>
        <v>0.34805194805194806</v>
      </c>
      <c r="U19" s="91">
        <f>Cálculos!D40</f>
        <v>0.60251798561151082</v>
      </c>
      <c r="V19"/>
      <c r="Y19"/>
      <c r="Z19"/>
      <c r="AA19" s="169" t="s">
        <v>99</v>
      </c>
      <c r="AB19" s="167"/>
      <c r="AC19" s="167" t="s">
        <v>100</v>
      </c>
      <c r="AD19" s="168"/>
    </row>
    <row r="20" spans="1:33" ht="15.75" thickBot="1">
      <c r="B20" s="149"/>
      <c r="C20" s="67">
        <v>10</v>
      </c>
      <c r="D20" s="85">
        <f>Cálculos!L21*Cálculos!M11</f>
        <v>1.0894149084946454E-5</v>
      </c>
      <c r="E20" s="79">
        <f>Cálculos!L21*Cálculos!M12</f>
        <v>4.7396622642299517E-6</v>
      </c>
      <c r="F20" s="79">
        <f>Cálculos!L21*Cálculos!M13</f>
        <v>1.0310304276084635E-6</v>
      </c>
      <c r="G20" s="79">
        <f>Cálculos!L21*Cálculos!M14</f>
        <v>1.4952172867914948E-7</v>
      </c>
      <c r="H20" s="79">
        <f>Cálculos!L21*Cálculos!M15</f>
        <v>1.6262915294647754E-8</v>
      </c>
      <c r="I20" s="79">
        <f>Cálculos!L21*Cálculos!M16</f>
        <v>1.415084837326493E-9</v>
      </c>
      <c r="J20" s="79">
        <f>Cálculos!L21*Cálculos!M17</f>
        <v>1.0260896547713747E-10</v>
      </c>
      <c r="K20" s="79">
        <f>Cálculos!L21*Cálculos!M18</f>
        <v>6.377366128912997E-12</v>
      </c>
      <c r="L20" s="79">
        <f>Cálculos!L21*Cálculos!M19</f>
        <v>3.4682104759510624E-13</v>
      </c>
      <c r="M20" s="101">
        <f>Cálculos!L21*Cálculos!M20</f>
        <v>1.6765519616790853E-14</v>
      </c>
      <c r="N20" s="103">
        <f>Cálculos!L21*Cálculos!M21</f>
        <v>7.2940897034090076E-16</v>
      </c>
      <c r="R20" s="153" t="s">
        <v>78</v>
      </c>
      <c r="S20" s="154"/>
      <c r="T20" s="92">
        <f>Cálculos!C41</f>
        <v>1.8075539568345325</v>
      </c>
      <c r="U20" s="93">
        <f>Cálculos!D41</f>
        <v>0.4350649350649351</v>
      </c>
      <c r="V20"/>
      <c r="Y20"/>
      <c r="Z20"/>
      <c r="AA20" s="163">
        <f>SUM(D10:D20,E11:E20,F12:F20,G13:G20,H14:H20,I15:I20,J16:J20,K17:K20,L18:L20,M19:M20,N20)</f>
        <v>0.91817033818352256</v>
      </c>
      <c r="AB20" s="164"/>
      <c r="AC20" s="165">
        <f>SUM(D10:N10,E11:N11,F12:N12,G13:N13,H14:N14,I15:N15,J16:N16,K17:N17,L18:N18,M19:N19,N20)</f>
        <v>0.28943208939998855</v>
      </c>
      <c r="AD20" s="166"/>
    </row>
    <row r="21" spans="1:33" ht="15.75" thickBot="1">
      <c r="AB21" s="170">
        <f>SUM(D10,E11,F12,G13,H14,I15,J16,K17,L18,M19,N20)</f>
        <v>0.20760416804264031</v>
      </c>
      <c r="AC21" s="171"/>
    </row>
    <row r="23" spans="1:33">
      <c r="A23" s="1"/>
      <c r="B23" s="1"/>
      <c r="C23" s="1"/>
      <c r="D23" s="1"/>
      <c r="E23" s="1"/>
      <c r="F23" s="1"/>
      <c r="G23" s="1"/>
      <c r="H23" s="1"/>
      <c r="I23" s="1"/>
      <c r="J23" s="1"/>
      <c r="K23" s="1"/>
      <c r="L23" s="1"/>
      <c r="M23" s="1"/>
      <c r="N23" s="1"/>
      <c r="O23" s="1"/>
      <c r="P23" s="1"/>
      <c r="Q23" s="1"/>
      <c r="R23" s="1"/>
      <c r="S23" s="75"/>
      <c r="T23" s="75"/>
      <c r="U23" s="75"/>
      <c r="V23" s="138"/>
      <c r="W23" s="138"/>
      <c r="X23" s="138"/>
      <c r="Y23" s="138"/>
      <c r="Z23" s="138"/>
      <c r="AA23" s="138"/>
      <c r="AB23" s="138"/>
      <c r="AC23" s="138"/>
      <c r="AD23" s="138"/>
      <c r="AE23" s="138"/>
      <c r="AF23" s="138"/>
      <c r="AG23" s="138"/>
    </row>
    <row r="28" spans="1:33">
      <c r="AC28" s="74"/>
      <c r="AD28" s="74"/>
      <c r="AE28" s="74"/>
    </row>
    <row r="29" spans="1:33">
      <c r="AC29" s="74"/>
      <c r="AD29" s="74"/>
      <c r="AE29" s="74"/>
    </row>
    <row r="30" spans="1:33" ht="15" customHeight="1">
      <c r="AC30" s="74"/>
      <c r="AD30" s="74"/>
      <c r="AE30" s="74"/>
    </row>
    <row r="31" spans="1:33">
      <c r="AC31" s="74"/>
      <c r="AD31" s="74"/>
      <c r="AE31" s="74"/>
    </row>
    <row r="32" spans="1:33">
      <c r="AC32" s="74"/>
      <c r="AD32" s="74"/>
      <c r="AE32" s="74"/>
    </row>
    <row r="33" spans="29:31">
      <c r="AC33" s="74"/>
      <c r="AD33" s="74"/>
      <c r="AE33" s="74"/>
    </row>
    <row r="34" spans="29:31">
      <c r="AC34" s="74"/>
      <c r="AD34" s="74"/>
      <c r="AE34" s="74"/>
    </row>
  </sheetData>
  <mergeCells count="33">
    <mergeCell ref="V6:AG6"/>
    <mergeCell ref="V23:AG23"/>
    <mergeCell ref="AB11:AC11"/>
    <mergeCell ref="AB17:AC17"/>
    <mergeCell ref="AB16:AC16"/>
    <mergeCell ref="AB15:AC15"/>
    <mergeCell ref="AA20:AB20"/>
    <mergeCell ref="AC20:AD20"/>
    <mergeCell ref="AC19:AD19"/>
    <mergeCell ref="AA19:AB19"/>
    <mergeCell ref="AB21:AC21"/>
    <mergeCell ref="R18:S18"/>
    <mergeCell ref="R17:S17"/>
    <mergeCell ref="N2:R2"/>
    <mergeCell ref="R8:U8"/>
    <mergeCell ref="W8:Z8"/>
    <mergeCell ref="A6:U6"/>
    <mergeCell ref="S12:Y12"/>
    <mergeCell ref="R12:R13"/>
    <mergeCell ref="R9:S9"/>
    <mergeCell ref="R10:S10"/>
    <mergeCell ref="W9:X9"/>
    <mergeCell ref="W10:X10"/>
    <mergeCell ref="B10:B20"/>
    <mergeCell ref="D8:N8"/>
    <mergeCell ref="R20:S20"/>
    <mergeCell ref="R19:S19"/>
    <mergeCell ref="G4:K4"/>
    <mergeCell ref="J2:L2"/>
    <mergeCell ref="F2:H2"/>
    <mergeCell ref="J3:L3"/>
    <mergeCell ref="F3:H3"/>
    <mergeCell ref="I2:I3"/>
  </mergeCells>
  <conditionalFormatting sqref="S14:Y14">
    <cfRule type="colorScale" priority="2">
      <colorScale>
        <cfvo type="min" val="0"/>
        <cfvo type="percentile" val="50"/>
        <cfvo type="max" val="0"/>
        <color rgb="FFF8696B"/>
        <color rgb="FFFFEB84"/>
        <color rgb="FF63BE7B"/>
      </colorScale>
    </cfRule>
  </conditionalFormatting>
  <conditionalFormatting sqref="S15:Y15">
    <cfRule type="colorScale" priority="3">
      <colorScale>
        <cfvo type="min" val="0"/>
        <cfvo type="percentile" val="50"/>
        <cfvo type="max" val="0"/>
        <color rgb="FFF8696B"/>
        <color rgb="FFFFEB84"/>
        <color rgb="FF63BE7B"/>
      </colorScale>
    </cfRule>
  </conditionalFormatting>
  <conditionalFormatting sqref="D10:N20">
    <cfRule type="colorScale" priority="1">
      <colorScale>
        <cfvo type="min" val="0"/>
        <cfvo type="percentile" val="50"/>
        <cfvo type="max" val="0"/>
        <color rgb="FFF8696B"/>
        <color rgb="FFFFEB84"/>
        <color rgb="FF63BE7B"/>
      </colorScale>
    </cfRule>
  </conditionalFormatting>
  <pageMargins left="0.7" right="0.7" top="0.75" bottom="0.75" header="0.3" footer="0.3"/>
  <pageSetup paperSize="9" orientation="portrait" horizontalDpi="200" verticalDpi="200" r:id="rId1"/>
  <legacyDrawing r:id="rId2"/>
  <controls>
    <control shapeId="1025" r:id="rId3" name="CommandButton1"/>
  </controls>
</worksheet>
</file>

<file path=xl/worksheets/sheet2.xml><?xml version="1.0" encoding="utf-8"?>
<worksheet xmlns="http://schemas.openxmlformats.org/spreadsheetml/2006/main" xmlns:r="http://schemas.openxmlformats.org/officeDocument/2006/relationships">
  <sheetPr codeName="Hoja2"/>
  <dimension ref="A2:Z175"/>
  <sheetViews>
    <sheetView zoomScale="85" zoomScaleNormal="85" workbookViewId="0">
      <selection activeCell="H16" sqref="H16"/>
    </sheetView>
  </sheetViews>
  <sheetFormatPr baseColWidth="10" defaultRowHeight="15"/>
  <cols>
    <col min="2" max="2" width="14.42578125" bestFit="1" customWidth="1"/>
    <col min="3" max="3" width="11.5703125" customWidth="1"/>
    <col min="4" max="4" width="10.85546875" customWidth="1"/>
    <col min="5" max="5" width="11" customWidth="1"/>
    <col min="6" max="6" width="11.42578125" customWidth="1"/>
    <col min="7" max="7" width="13.5703125" bestFit="1" customWidth="1"/>
    <col min="8" max="8" width="12.5703125" customWidth="1"/>
    <col min="9" max="9" width="12.140625" customWidth="1"/>
    <col min="10" max="10" width="11.42578125" customWidth="1"/>
    <col min="11" max="11" width="12.5703125" bestFit="1" customWidth="1"/>
    <col min="12" max="13" width="10.7109375" customWidth="1"/>
    <col min="14" max="14" width="10.5703125" customWidth="1"/>
    <col min="15" max="15" width="15.5703125" bestFit="1" customWidth="1"/>
    <col min="16" max="16" width="12.42578125" bestFit="1" customWidth="1"/>
    <col min="17" max="17" width="14" customWidth="1"/>
    <col min="18" max="18" width="14.5703125" bestFit="1" customWidth="1"/>
  </cols>
  <sheetData>
    <row r="2" spans="1:26" ht="15.75" thickBot="1">
      <c r="B2" s="175" t="s">
        <v>34</v>
      </c>
      <c r="C2" s="175"/>
    </row>
    <row r="3" spans="1:26">
      <c r="I3" s="176" t="s">
        <v>32</v>
      </c>
      <c r="J3" s="177"/>
      <c r="K3" s="177"/>
      <c r="L3" s="178" t="s">
        <v>31</v>
      </c>
      <c r="M3" s="177" t="s">
        <v>33</v>
      </c>
      <c r="N3" s="177"/>
      <c r="O3" s="180"/>
    </row>
    <row r="4" spans="1:26" ht="15.75" thickBot="1">
      <c r="I4" s="181" t="s">
        <v>104</v>
      </c>
      <c r="J4" s="182"/>
      <c r="K4" s="182"/>
      <c r="L4" s="179"/>
      <c r="M4" s="182" t="s">
        <v>105</v>
      </c>
      <c r="N4" s="182"/>
      <c r="O4" s="183"/>
    </row>
    <row r="5" spans="1:26" ht="15.75" thickBot="1">
      <c r="J5" s="172" t="s">
        <v>102</v>
      </c>
      <c r="K5" s="173"/>
      <c r="L5" s="173"/>
      <c r="M5" s="173"/>
      <c r="N5" s="174"/>
    </row>
    <row r="6" spans="1:26">
      <c r="A6" s="184" t="s">
        <v>29</v>
      </c>
      <c r="B6" s="184"/>
      <c r="C6" s="184"/>
      <c r="D6" s="184"/>
      <c r="E6" s="184"/>
      <c r="F6" s="184"/>
      <c r="G6" s="184"/>
      <c r="H6" s="184"/>
      <c r="I6" s="184"/>
      <c r="J6" s="184"/>
      <c r="K6" s="184"/>
      <c r="L6" s="184"/>
      <c r="M6" s="184"/>
      <c r="N6" s="184"/>
      <c r="O6" s="184"/>
      <c r="P6" s="184"/>
      <c r="Q6" s="184"/>
      <c r="R6" s="184"/>
      <c r="S6" s="184"/>
      <c r="T6" s="184"/>
      <c r="U6" s="184"/>
    </row>
    <row r="7" spans="1:26" ht="15.75" thickBot="1">
      <c r="A7" s="185"/>
      <c r="B7" s="185"/>
      <c r="C7" s="185"/>
      <c r="D7" s="185"/>
      <c r="E7" s="185"/>
      <c r="F7" s="185"/>
      <c r="G7" s="185"/>
      <c r="H7" s="185"/>
      <c r="I7" s="185"/>
      <c r="J7" s="185"/>
      <c r="K7" s="185"/>
      <c r="L7" s="185"/>
      <c r="M7" s="185"/>
      <c r="N7" s="185"/>
      <c r="O7" s="185"/>
      <c r="P7" s="185"/>
      <c r="Q7" s="185"/>
      <c r="R7" s="185"/>
      <c r="S7" s="185"/>
      <c r="T7" s="185"/>
      <c r="U7" s="185"/>
    </row>
    <row r="8" spans="1:26" ht="15.75" thickTop="1"/>
    <row r="9" spans="1:26" ht="15.75" thickBot="1">
      <c r="P9" s="186" t="s">
        <v>23</v>
      </c>
      <c r="Q9" s="186"/>
    </row>
    <row r="10" spans="1:26" ht="15.75" thickBot="1">
      <c r="C10" s="191" t="s">
        <v>10</v>
      </c>
      <c r="D10" s="192"/>
      <c r="H10" s="193" t="s">
        <v>14</v>
      </c>
      <c r="I10" s="194"/>
      <c r="K10" s="15"/>
      <c r="L10" s="16" t="s">
        <v>0</v>
      </c>
      <c r="M10" s="17" t="s">
        <v>1</v>
      </c>
      <c r="P10" s="14" t="s">
        <v>95</v>
      </c>
      <c r="Q10" s="14" t="s">
        <v>96</v>
      </c>
      <c r="R10" s="14" t="s">
        <v>93</v>
      </c>
      <c r="T10" s="195" t="s">
        <v>94</v>
      </c>
      <c r="U10" s="195"/>
      <c r="V10" s="195"/>
      <c r="W10" s="195"/>
      <c r="X10" s="195"/>
      <c r="Y10" s="195"/>
      <c r="Z10" s="195"/>
    </row>
    <row r="11" spans="1:26" ht="15.75" thickBot="1">
      <c r="C11" s="22" t="s">
        <v>11</v>
      </c>
      <c r="D11" s="23" t="s">
        <v>12</v>
      </c>
      <c r="E11" s="7"/>
      <c r="H11" s="30" t="s">
        <v>12</v>
      </c>
      <c r="I11" s="31" t="s">
        <v>11</v>
      </c>
      <c r="K11" s="24" t="s">
        <v>16</v>
      </c>
      <c r="L11" s="52">
        <f>((C41^0)*(2.71828^(-C41)))/FACT(0)</f>
        <v>0.16405513133401833</v>
      </c>
      <c r="M11" s="53">
        <f>((D41^0)*(2.71828^(-D41)))/FACT(0)</f>
        <v>0.64722282767762085</v>
      </c>
      <c r="P11" s="34">
        <v>15</v>
      </c>
      <c r="Q11" s="35">
        <v>8</v>
      </c>
      <c r="R11" s="110">
        <v>6</v>
      </c>
      <c r="T11" s="195"/>
      <c r="U11" s="195"/>
      <c r="V11" s="195"/>
      <c r="W11" s="195"/>
      <c r="X11" s="195"/>
      <c r="Y11" s="195"/>
      <c r="Z11" s="195"/>
    </row>
    <row r="12" spans="1:26">
      <c r="B12">
        <v>1</v>
      </c>
      <c r="C12" s="40">
        <v>4</v>
      </c>
      <c r="D12" s="41">
        <v>0</v>
      </c>
      <c r="G12">
        <v>1</v>
      </c>
      <c r="H12" s="40">
        <v>2</v>
      </c>
      <c r="I12" s="41">
        <v>1</v>
      </c>
      <c r="K12" s="24" t="s">
        <v>17</v>
      </c>
      <c r="L12" s="52">
        <f>((C41^1)*(2.71828^(-C41)))/FACT(1)</f>
        <v>0.29653850178181373</v>
      </c>
      <c r="M12" s="53">
        <f>((D41^1)*(2.71828^(-D41)))/FACT(1)</f>
        <v>0.28158395749610782</v>
      </c>
      <c r="P12" s="36">
        <v>15</v>
      </c>
      <c r="Q12" s="37">
        <v>11</v>
      </c>
      <c r="R12" s="111">
        <v>5</v>
      </c>
      <c r="T12" s="195"/>
      <c r="U12" s="195"/>
      <c r="V12" s="195"/>
      <c r="W12" s="195"/>
      <c r="X12" s="195"/>
      <c r="Y12" s="195"/>
      <c r="Z12" s="195"/>
    </row>
    <row r="13" spans="1:26">
      <c r="B13">
        <v>2</v>
      </c>
      <c r="C13" s="42">
        <v>3</v>
      </c>
      <c r="D13" s="37">
        <v>1</v>
      </c>
      <c r="G13">
        <v>2</v>
      </c>
      <c r="H13" s="42">
        <v>1</v>
      </c>
      <c r="I13" s="37">
        <v>2</v>
      </c>
      <c r="K13" s="24" t="s">
        <v>18</v>
      </c>
      <c r="L13" s="52">
        <f>((C41^2)*(2.71828^(-C41)))/FACT(2)</f>
        <v>0.26800467112475074</v>
      </c>
      <c r="M13" s="53">
        <f>((D41^2)*(2.71828^(-D41)))/FACT(2)</f>
        <v>6.1253653091685789E-2</v>
      </c>
      <c r="P13" s="36">
        <v>13</v>
      </c>
      <c r="Q13" s="37">
        <v>3</v>
      </c>
      <c r="R13" s="111">
        <v>7</v>
      </c>
      <c r="T13" s="195"/>
      <c r="U13" s="195"/>
      <c r="V13" s="195"/>
      <c r="W13" s="195"/>
      <c r="X13" s="195"/>
      <c r="Y13" s="195"/>
      <c r="Z13" s="195"/>
    </row>
    <row r="14" spans="1:26">
      <c r="B14">
        <v>3</v>
      </c>
      <c r="C14" s="42">
        <v>4</v>
      </c>
      <c r="D14" s="37">
        <v>0</v>
      </c>
      <c r="G14">
        <v>3</v>
      </c>
      <c r="H14" s="42">
        <v>0</v>
      </c>
      <c r="I14" s="37">
        <v>2</v>
      </c>
      <c r="K14" s="24" t="s">
        <v>19</v>
      </c>
      <c r="L14" s="52">
        <f>((C41^3)*(2.71828^(-C41)))/FACT(3)</f>
        <v>0.16147763458056025</v>
      </c>
      <c r="M14" s="53">
        <f>((D41^3)*(2.71828^(-D41)))/FACT(3)</f>
        <v>8.8831055349414458E-3</v>
      </c>
      <c r="P14" s="36">
        <v>13</v>
      </c>
      <c r="Q14" s="37">
        <v>11</v>
      </c>
      <c r="R14" s="111">
        <v>8</v>
      </c>
    </row>
    <row r="15" spans="1:26">
      <c r="B15">
        <v>4</v>
      </c>
      <c r="C15" s="42">
        <v>2</v>
      </c>
      <c r="D15" s="37">
        <v>0</v>
      </c>
      <c r="G15">
        <v>4</v>
      </c>
      <c r="H15" s="42">
        <v>2</v>
      </c>
      <c r="I15" s="37">
        <v>0</v>
      </c>
      <c r="K15" s="24" t="s">
        <v>21</v>
      </c>
      <c r="L15" s="52">
        <f>((C41^4)*(2.71828^(-C41)))/FACT(4)</f>
        <v>7.2969884331593099E-2</v>
      </c>
      <c r="M15" s="53">
        <f>((D41^4)*(2.71828^(-D41)))/FACT(4)</f>
        <v>9.6618193318356643E-4</v>
      </c>
      <c r="P15" s="36">
        <v>15</v>
      </c>
      <c r="Q15" s="37">
        <v>8</v>
      </c>
      <c r="R15" s="111">
        <v>6</v>
      </c>
    </row>
    <row r="16" spans="1:26">
      <c r="B16">
        <v>5</v>
      </c>
      <c r="C16" s="42">
        <v>2</v>
      </c>
      <c r="D16" s="37">
        <v>1</v>
      </c>
      <c r="G16">
        <v>5</v>
      </c>
      <c r="H16" s="42"/>
      <c r="I16" s="37"/>
      <c r="K16" s="24" t="s">
        <v>20</v>
      </c>
      <c r="L16" s="52">
        <f>((C41^5)*(2.71828^(-C41)))/FACT(5)</f>
        <v>2.637940063066585E-2</v>
      </c>
      <c r="M16" s="53">
        <f>((D41^5)*(2.71828^(-D41)))/FACT(5)</f>
        <v>8.4070376004284362E-5</v>
      </c>
      <c r="P16" s="36">
        <v>19</v>
      </c>
      <c r="Q16" s="37">
        <v>5</v>
      </c>
      <c r="R16" s="111">
        <v>4</v>
      </c>
    </row>
    <row r="17" spans="2:18">
      <c r="B17">
        <v>6</v>
      </c>
      <c r="C17" s="42"/>
      <c r="D17" s="37"/>
      <c r="G17">
        <v>6</v>
      </c>
      <c r="H17" s="42"/>
      <c r="I17" s="37"/>
      <c r="K17" s="69" t="s">
        <v>22</v>
      </c>
      <c r="L17" s="70">
        <f>((C41^6)*(2.71828^(-C41)))/FACT(6)</f>
        <v>7.9470316648139038E-3</v>
      </c>
      <c r="M17" s="71">
        <f>((D41^6)*(2.71828^(-D41)))/FACT(6)</f>
        <v>6.0960121128647754E-6</v>
      </c>
      <c r="P17" s="36">
        <v>17</v>
      </c>
      <c r="Q17" s="37">
        <v>9</v>
      </c>
      <c r="R17" s="111">
        <v>5</v>
      </c>
    </row>
    <row r="18" spans="2:18">
      <c r="B18">
        <v>7</v>
      </c>
      <c r="C18" s="42"/>
      <c r="D18" s="37"/>
      <c r="G18">
        <v>7</v>
      </c>
      <c r="H18" s="42"/>
      <c r="I18" s="37"/>
      <c r="K18" s="72" t="s">
        <v>82</v>
      </c>
      <c r="L18" s="52">
        <f>((C41^7)*(2.71828^(-C41)))/FACT(7)</f>
        <v>2.0520983615462418E-3</v>
      </c>
      <c r="M18" s="53">
        <f>((D41^7)*(2.71828^(-D41)))/FACT(7)</f>
        <v>3.7888015914836731E-7</v>
      </c>
      <c r="P18" s="36">
        <v>11</v>
      </c>
      <c r="Q18" s="37">
        <v>11</v>
      </c>
      <c r="R18" s="111">
        <v>8</v>
      </c>
    </row>
    <row r="19" spans="2:18">
      <c r="B19">
        <v>8</v>
      </c>
      <c r="C19" s="42"/>
      <c r="D19" s="37"/>
      <c r="G19">
        <v>8</v>
      </c>
      <c r="H19" s="42"/>
      <c r="I19" s="37"/>
      <c r="K19" s="72" t="s">
        <v>83</v>
      </c>
      <c r="L19" s="52">
        <f>((C41^8)*(2.71828^(-C41)))/FACT(8)</f>
        <v>4.6365981415332126E-4</v>
      </c>
      <c r="M19" s="53">
        <f>((D41^8)*(2.71828^(-D41)))/FACT(8)</f>
        <v>2.0604683979659589E-8</v>
      </c>
      <c r="P19" s="36">
        <v>10</v>
      </c>
      <c r="Q19" s="37">
        <v>2</v>
      </c>
      <c r="R19" s="111">
        <v>6</v>
      </c>
    </row>
    <row r="20" spans="2:18">
      <c r="B20">
        <v>9</v>
      </c>
      <c r="C20" s="42"/>
      <c r="D20" s="37"/>
      <c r="G20">
        <v>9</v>
      </c>
      <c r="H20" s="42"/>
      <c r="I20" s="37"/>
      <c r="K20" s="72" t="s">
        <v>84</v>
      </c>
      <c r="L20" s="52">
        <f>((C41^9)*(2.71828^(-C41)))/FACT(9)</f>
        <v>9.3121125744222196E-5</v>
      </c>
      <c r="M20" s="53">
        <f>((D41^9)*(2.71828^(-D41)))/FACT(9)</f>
        <v>9.9604172196045653E-10</v>
      </c>
      <c r="P20" s="36">
        <v>8</v>
      </c>
      <c r="Q20" s="37">
        <v>6</v>
      </c>
      <c r="R20" s="111">
        <v>8</v>
      </c>
    </row>
    <row r="21" spans="2:18" ht="15.75" thickBot="1">
      <c r="B21">
        <v>10</v>
      </c>
      <c r="C21" s="42"/>
      <c r="D21" s="37"/>
      <c r="G21">
        <v>10</v>
      </c>
      <c r="H21" s="42"/>
      <c r="I21" s="37"/>
      <c r="K21" s="73" t="s">
        <v>85</v>
      </c>
      <c r="L21" s="50">
        <f>((C41^10)*(2.71828^(-C41)))/FACT(10)</f>
        <v>1.6832145930385489E-5</v>
      </c>
      <c r="M21" s="51">
        <f>((D41^10)*(2.71828^(-D41)))/FACT(10)</f>
        <v>4.3334282708669209E-11</v>
      </c>
      <c r="P21" s="36">
        <v>3</v>
      </c>
      <c r="Q21" s="37">
        <v>3</v>
      </c>
      <c r="R21" s="111">
        <v>4</v>
      </c>
    </row>
    <row r="22" spans="2:18">
      <c r="B22">
        <v>11</v>
      </c>
      <c r="C22" s="42"/>
      <c r="D22" s="37"/>
      <c r="G22">
        <v>11</v>
      </c>
      <c r="H22" s="42"/>
      <c r="I22" s="37"/>
      <c r="P22" s="36"/>
      <c r="Q22" s="37"/>
      <c r="R22" s="111"/>
    </row>
    <row r="23" spans="2:18">
      <c r="B23">
        <v>12</v>
      </c>
      <c r="C23" s="42"/>
      <c r="D23" s="37"/>
      <c r="G23">
        <v>12</v>
      </c>
      <c r="H23" s="42"/>
      <c r="I23" s="37"/>
      <c r="P23" s="36"/>
      <c r="Q23" s="37"/>
      <c r="R23" s="111"/>
    </row>
    <row r="24" spans="2:18">
      <c r="B24">
        <v>13</v>
      </c>
      <c r="C24" s="42"/>
      <c r="D24" s="37"/>
      <c r="G24">
        <v>13</v>
      </c>
      <c r="H24" s="42"/>
      <c r="I24" s="37"/>
      <c r="P24" s="36"/>
      <c r="Q24" s="37"/>
      <c r="R24" s="111"/>
    </row>
    <row r="25" spans="2:18">
      <c r="B25">
        <v>14</v>
      </c>
      <c r="C25" s="42"/>
      <c r="D25" s="37"/>
      <c r="G25">
        <v>14</v>
      </c>
      <c r="H25" s="42"/>
      <c r="I25" s="37"/>
      <c r="P25" s="36"/>
      <c r="Q25" s="37"/>
      <c r="R25" s="111"/>
    </row>
    <row r="26" spans="2:18">
      <c r="B26">
        <v>15</v>
      </c>
      <c r="C26" s="42"/>
      <c r="D26" s="37"/>
      <c r="G26">
        <v>15</v>
      </c>
      <c r="H26" s="42"/>
      <c r="I26" s="37"/>
      <c r="P26" s="36"/>
      <c r="Q26" s="37"/>
      <c r="R26" s="111"/>
    </row>
    <row r="27" spans="2:18">
      <c r="B27">
        <v>16</v>
      </c>
      <c r="C27" s="43"/>
      <c r="D27" s="39"/>
      <c r="G27">
        <v>16</v>
      </c>
      <c r="H27" s="43"/>
      <c r="I27" s="39"/>
      <c r="P27" s="36"/>
      <c r="Q27" s="37"/>
      <c r="R27" s="111"/>
    </row>
    <row r="28" spans="2:18">
      <c r="B28">
        <v>17</v>
      </c>
      <c r="C28" s="43"/>
      <c r="D28" s="39"/>
      <c r="G28">
        <v>17</v>
      </c>
      <c r="H28" s="43"/>
      <c r="I28" s="39"/>
      <c r="P28" s="36"/>
      <c r="Q28" s="37"/>
      <c r="R28" s="111"/>
    </row>
    <row r="29" spans="2:18">
      <c r="B29">
        <v>18</v>
      </c>
      <c r="C29" s="43"/>
      <c r="D29" s="39"/>
      <c r="G29">
        <v>18</v>
      </c>
      <c r="H29" s="43"/>
      <c r="I29" s="39"/>
      <c r="P29" s="36"/>
      <c r="Q29" s="37"/>
      <c r="R29" s="111"/>
    </row>
    <row r="30" spans="2:18" ht="15.75" thickBot="1">
      <c r="B30">
        <v>19</v>
      </c>
      <c r="C30" s="44"/>
      <c r="D30" s="45"/>
      <c r="G30">
        <v>19</v>
      </c>
      <c r="H30" s="43"/>
      <c r="I30" s="39"/>
      <c r="P30" s="36"/>
      <c r="Q30" s="37"/>
      <c r="R30" s="111"/>
    </row>
    <row r="31" spans="2:18" ht="15.75" thickBot="1">
      <c r="B31" s="14" t="s">
        <v>13</v>
      </c>
      <c r="C31" s="8">
        <f>SUM(C12:C30)</f>
        <v>15</v>
      </c>
      <c r="D31" s="9">
        <f>SUM(D12:D30)</f>
        <v>2</v>
      </c>
      <c r="G31" s="27" t="s">
        <v>13</v>
      </c>
      <c r="H31" s="28">
        <f>SUM(H12:H30)</f>
        <v>5</v>
      </c>
      <c r="I31" s="29">
        <f>SUM(I12:I30)</f>
        <v>5</v>
      </c>
      <c r="P31" s="36"/>
      <c r="Q31" s="37"/>
      <c r="R31" s="111"/>
    </row>
    <row r="32" spans="2:18" ht="15.75" thickBot="1">
      <c r="B32" s="14" t="s">
        <v>15</v>
      </c>
      <c r="C32" s="10">
        <f>COUNT(C12:C30)</f>
        <v>5</v>
      </c>
      <c r="G32" s="14" t="s">
        <v>15</v>
      </c>
      <c r="H32" s="26">
        <f>COUNT(H12:H30)</f>
        <v>4</v>
      </c>
      <c r="P32" s="36"/>
      <c r="Q32" s="37"/>
      <c r="R32" s="111"/>
    </row>
    <row r="33" spans="1:21">
      <c r="P33" s="36"/>
      <c r="Q33" s="37"/>
      <c r="R33" s="111"/>
    </row>
    <row r="34" spans="1:21">
      <c r="B34" s="186" t="s">
        <v>5</v>
      </c>
      <c r="C34" s="186"/>
      <c r="D34" s="186"/>
      <c r="E34" s="186"/>
      <c r="G34" s="186" t="s">
        <v>6</v>
      </c>
      <c r="H34" s="186"/>
      <c r="I34" s="186"/>
      <c r="J34" s="186"/>
      <c r="P34" s="36"/>
      <c r="Q34" s="37"/>
      <c r="R34" s="111"/>
    </row>
    <row r="35" spans="1:21">
      <c r="B35" s="143" t="s">
        <v>2</v>
      </c>
      <c r="C35" s="144"/>
      <c r="D35" s="11" t="s">
        <v>4</v>
      </c>
      <c r="E35" s="3">
        <f>C31/C32</f>
        <v>3</v>
      </c>
      <c r="G35" s="143" t="s">
        <v>2</v>
      </c>
      <c r="H35" s="144"/>
      <c r="I35" s="11" t="s">
        <v>4</v>
      </c>
      <c r="J35" s="3">
        <f>I31/H32</f>
        <v>1.25</v>
      </c>
      <c r="P35" s="36"/>
      <c r="Q35" s="37"/>
      <c r="R35" s="111"/>
    </row>
    <row r="36" spans="1:21" ht="15.75" thickBot="1">
      <c r="B36" s="145" t="s">
        <v>3</v>
      </c>
      <c r="C36" s="146"/>
      <c r="D36" s="12" t="s">
        <v>4</v>
      </c>
      <c r="E36" s="2">
        <f>D31/C32</f>
        <v>0.4</v>
      </c>
      <c r="G36" s="145" t="s">
        <v>3</v>
      </c>
      <c r="H36" s="146"/>
      <c r="I36" s="12" t="s">
        <v>4</v>
      </c>
      <c r="J36" s="2">
        <f>H31/H32</f>
        <v>1.25</v>
      </c>
      <c r="P36" s="36"/>
      <c r="Q36" s="37"/>
      <c r="R36" s="111"/>
    </row>
    <row r="37" spans="1:21" ht="15.75" thickBot="1">
      <c r="P37" s="38"/>
      <c r="Q37" s="39"/>
      <c r="R37" s="112"/>
    </row>
    <row r="38" spans="1:21" ht="15.75" thickBot="1">
      <c r="B38" s="60"/>
      <c r="C38" s="61" t="s">
        <v>0</v>
      </c>
      <c r="D38" s="62" t="s">
        <v>1</v>
      </c>
      <c r="O38" s="114" t="s">
        <v>24</v>
      </c>
      <c r="P38" s="13">
        <f>SUM(P11:P37)</f>
        <v>139</v>
      </c>
      <c r="Q38" s="113">
        <f>SUM(Q11:Q37)</f>
        <v>77</v>
      </c>
    </row>
    <row r="39" spans="1:21" ht="15.75" thickBot="1">
      <c r="B39" s="63" t="s">
        <v>27</v>
      </c>
      <c r="C39" s="64">
        <f>E35/P41</f>
        <v>1.446043165467626</v>
      </c>
      <c r="D39" s="65">
        <f>J35/Q41</f>
        <v>1.0876623376623378</v>
      </c>
      <c r="F39" t="s">
        <v>92</v>
      </c>
      <c r="O39" s="14" t="s">
        <v>25</v>
      </c>
      <c r="P39" s="187">
        <f>SUM(R11:R37)</f>
        <v>67</v>
      </c>
      <c r="Q39" s="188"/>
    </row>
    <row r="40" spans="1:21" ht="15.75" thickBot="1">
      <c r="B40" s="18" t="s">
        <v>77</v>
      </c>
      <c r="C40" s="20">
        <f>E36/Q41</f>
        <v>0.34805194805194806</v>
      </c>
      <c r="D40" s="21">
        <f>J36/P41</f>
        <v>0.60251798561151082</v>
      </c>
      <c r="O40" s="14" t="s">
        <v>26</v>
      </c>
      <c r="P40" s="189">
        <f>COUNT(P11:P37)</f>
        <v>11</v>
      </c>
      <c r="Q40" s="190"/>
    </row>
    <row r="41" spans="1:21" ht="15.75" thickBot="1">
      <c r="B41" s="18" t="s">
        <v>78</v>
      </c>
      <c r="C41" s="20">
        <f>C39*D40*P41</f>
        <v>1.8075539568345325</v>
      </c>
      <c r="D41" s="21">
        <f>C40*D39*Q41</f>
        <v>0.4350649350649351</v>
      </c>
      <c r="O41" s="14" t="s">
        <v>35</v>
      </c>
      <c r="P41" s="19">
        <f>P38/(P39)</f>
        <v>2.0746268656716418</v>
      </c>
      <c r="Q41" s="113">
        <f>Q38/(P39)</f>
        <v>1.1492537313432836</v>
      </c>
    </row>
    <row r="43" spans="1:21">
      <c r="A43" s="184" t="s">
        <v>30</v>
      </c>
      <c r="B43" s="184"/>
      <c r="C43" s="184"/>
      <c r="D43" s="184"/>
      <c r="E43" s="184"/>
      <c r="F43" s="184"/>
      <c r="G43" s="184"/>
      <c r="H43" s="184"/>
      <c r="I43" s="184"/>
      <c r="J43" s="184"/>
      <c r="K43" s="184"/>
      <c r="L43" s="184"/>
      <c r="M43" s="184"/>
      <c r="N43" s="184"/>
      <c r="O43" s="184"/>
      <c r="P43" s="184"/>
      <c r="Q43" s="184"/>
      <c r="R43" s="184"/>
      <c r="S43" s="184"/>
      <c r="T43" s="184"/>
      <c r="U43" s="184"/>
    </row>
    <row r="44" spans="1:21" ht="15.75" thickBot="1">
      <c r="A44" s="185"/>
      <c r="B44" s="185"/>
      <c r="C44" s="185"/>
      <c r="D44" s="185"/>
      <c r="E44" s="185"/>
      <c r="F44" s="185"/>
      <c r="G44" s="185"/>
      <c r="H44" s="185"/>
      <c r="I44" s="185"/>
      <c r="J44" s="185"/>
      <c r="K44" s="185"/>
      <c r="L44" s="185"/>
      <c r="M44" s="185"/>
      <c r="N44" s="185"/>
      <c r="O44" s="185"/>
      <c r="P44" s="185"/>
      <c r="Q44" s="185"/>
      <c r="R44" s="185"/>
      <c r="S44" s="185"/>
      <c r="T44" s="185"/>
      <c r="U44" s="185"/>
    </row>
    <row r="45" spans="1:21" ht="15.75" thickTop="1"/>
    <row r="118" spans="3:15">
      <c r="C118" s="4"/>
    </row>
    <row r="119" spans="3:15">
      <c r="C119" s="4"/>
    </row>
    <row r="121" spans="3:15">
      <c r="C121" s="4"/>
      <c r="F121" s="5"/>
      <c r="O121" s="6"/>
    </row>
    <row r="123" spans="3:15">
      <c r="C123" s="4"/>
      <c r="O123" s="5"/>
    </row>
    <row r="125" spans="3:15">
      <c r="C125" s="4"/>
      <c r="F125" s="5"/>
      <c r="O125" s="6"/>
    </row>
    <row r="127" spans="3:15">
      <c r="C127" s="4"/>
      <c r="F127" s="5"/>
      <c r="O127" s="5"/>
    </row>
    <row r="129" spans="3:15">
      <c r="C129" s="4"/>
      <c r="O129" s="6"/>
    </row>
    <row r="131" spans="3:15">
      <c r="C131" s="4"/>
      <c r="F131" s="5"/>
      <c r="O131" s="6"/>
    </row>
    <row r="133" spans="3:15">
      <c r="C133" s="4"/>
      <c r="O133" s="5"/>
    </row>
    <row r="135" spans="3:15">
      <c r="C135" s="4"/>
      <c r="F135" s="5"/>
      <c r="O135" s="5"/>
    </row>
    <row r="137" spans="3:15">
      <c r="C137" s="4"/>
      <c r="O137" s="6"/>
    </row>
    <row r="139" spans="3:15">
      <c r="C139" s="4"/>
      <c r="F139" s="5"/>
      <c r="O139" s="5"/>
    </row>
    <row r="141" spans="3:15">
      <c r="C141" s="4"/>
      <c r="F141" s="5"/>
    </row>
    <row r="143" spans="3:15">
      <c r="C143" s="4"/>
      <c r="O143" s="5"/>
    </row>
    <row r="145" spans="3:15">
      <c r="C145" s="4"/>
      <c r="F145" s="5"/>
    </row>
    <row r="147" spans="3:15">
      <c r="C147" s="4"/>
      <c r="O147" s="5"/>
    </row>
    <row r="149" spans="3:15">
      <c r="C149" s="4"/>
      <c r="F149" s="5"/>
      <c r="O149" s="5"/>
    </row>
    <row r="151" spans="3:15">
      <c r="C151" s="4"/>
      <c r="F151" s="5"/>
    </row>
    <row r="153" spans="3:15">
      <c r="C153" s="4"/>
      <c r="O153" s="5"/>
    </row>
    <row r="155" spans="3:15">
      <c r="C155" s="4"/>
      <c r="O155" s="6"/>
    </row>
    <row r="157" spans="3:15">
      <c r="C157" s="4"/>
      <c r="O157" s="5"/>
    </row>
    <row r="159" spans="3:15">
      <c r="C159" s="4"/>
      <c r="O159" s="5"/>
    </row>
    <row r="161" spans="3:15">
      <c r="C161" s="4"/>
    </row>
    <row r="163" spans="3:15">
      <c r="C163" s="4"/>
      <c r="F163" s="5"/>
      <c r="O163" s="6"/>
    </row>
    <row r="165" spans="3:15">
      <c r="C165" s="4"/>
      <c r="O165" s="5"/>
    </row>
    <row r="167" spans="3:15">
      <c r="C167" s="4"/>
      <c r="O167" s="5"/>
    </row>
    <row r="169" spans="3:15">
      <c r="C169" s="4"/>
      <c r="F169" s="5"/>
      <c r="O169" s="5"/>
    </row>
    <row r="171" spans="3:15">
      <c r="C171" s="4"/>
      <c r="F171" s="5"/>
      <c r="O171" s="5"/>
    </row>
    <row r="173" spans="3:15">
      <c r="C173" s="4"/>
      <c r="F173" s="5"/>
      <c r="O173" s="5"/>
    </row>
    <row r="175" spans="3:15">
      <c r="C175" s="4"/>
      <c r="F175" s="5"/>
      <c r="O175" s="6"/>
    </row>
  </sheetData>
  <mergeCells count="21">
    <mergeCell ref="A6:U7"/>
    <mergeCell ref="A43:U44"/>
    <mergeCell ref="B36:C36"/>
    <mergeCell ref="G36:H36"/>
    <mergeCell ref="P9:Q9"/>
    <mergeCell ref="P39:Q39"/>
    <mergeCell ref="P40:Q40"/>
    <mergeCell ref="C10:D10"/>
    <mergeCell ref="H10:I10"/>
    <mergeCell ref="B34:E34"/>
    <mergeCell ref="G34:J34"/>
    <mergeCell ref="B35:C35"/>
    <mergeCell ref="G35:H35"/>
    <mergeCell ref="T10:Z13"/>
    <mergeCell ref="J5:N5"/>
    <mergeCell ref="B2:C2"/>
    <mergeCell ref="I3:K3"/>
    <mergeCell ref="L3:L4"/>
    <mergeCell ref="M3:O3"/>
    <mergeCell ref="I4:K4"/>
    <mergeCell ref="M4:O4"/>
  </mergeCells>
  <conditionalFormatting sqref="L11:L17">
    <cfRule type="colorScale" priority="6">
      <colorScale>
        <cfvo type="min" val="0"/>
        <cfvo type="percentile" val="50"/>
        <cfvo type="max" val="0"/>
        <color rgb="FFF8696B"/>
        <color rgb="FFFFEB84"/>
        <color rgb="FF63BE7B"/>
      </colorScale>
    </cfRule>
  </conditionalFormatting>
  <conditionalFormatting sqref="M11:M17">
    <cfRule type="colorScale" priority="5">
      <colorScale>
        <cfvo type="min" val="0"/>
        <cfvo type="percentile" val="50"/>
        <cfvo type="max" val="0"/>
        <color rgb="FFF8696B"/>
        <color rgb="FFFFEB84"/>
        <color rgb="FF63BE7B"/>
      </colorScale>
    </cfRule>
  </conditionalFormatting>
  <conditionalFormatting sqref="L18:L21">
    <cfRule type="colorScale" priority="4">
      <colorScale>
        <cfvo type="min" val="0"/>
        <cfvo type="percentile" val="50"/>
        <cfvo type="max" val="0"/>
        <color rgb="FFF8696B"/>
        <color rgb="FFFFEB84"/>
        <color rgb="FF63BE7B"/>
      </colorScale>
    </cfRule>
  </conditionalFormatting>
  <conditionalFormatting sqref="M18:M21">
    <cfRule type="colorScale" priority="3">
      <colorScale>
        <cfvo type="min" val="0"/>
        <cfvo type="percentile" val="50"/>
        <cfvo type="max" val="0"/>
        <color rgb="FFF8696B"/>
        <color rgb="FFFFEB84"/>
        <color rgb="FF63BE7B"/>
      </colorScale>
    </cfRule>
  </conditionalFormatting>
  <conditionalFormatting sqref="L11:L21">
    <cfRule type="colorScale" priority="2">
      <colorScale>
        <cfvo type="min" val="0"/>
        <cfvo type="percentile" val="50"/>
        <cfvo type="max" val="0"/>
        <color rgb="FFF8696B"/>
        <color rgb="FFFFEB84"/>
        <color rgb="FF63BE7B"/>
      </colorScale>
    </cfRule>
  </conditionalFormatting>
  <conditionalFormatting sqref="M11:M21">
    <cfRule type="colorScale" priority="1">
      <colorScale>
        <cfvo type="min" val="0"/>
        <cfvo type="percentile" val="50"/>
        <cfvo type="max" val="0"/>
        <color rgb="FFF8696B"/>
        <color rgb="FFFFEB84"/>
        <color rgb="FF63BE7B"/>
      </colorScale>
    </cfRule>
  </conditionalFormatting>
  <pageMargins left="0.7" right="0.7" top="0.75" bottom="0.75" header="0.3" footer="0.3"/>
  <pageSetup paperSize="9" orientation="portrait" horizontalDpi="200" verticalDpi="200" r:id="rId1"/>
</worksheet>
</file>

<file path=xl/worksheets/sheet3.xml><?xml version="1.0" encoding="utf-8"?>
<worksheet xmlns="http://schemas.openxmlformats.org/spreadsheetml/2006/main" xmlns:r="http://schemas.openxmlformats.org/officeDocument/2006/relationships">
  <sheetPr codeName="Hoja3"/>
  <dimension ref="A1:Q39"/>
  <sheetViews>
    <sheetView workbookViewId="0">
      <selection activeCell="J4" sqref="J4"/>
    </sheetView>
  </sheetViews>
  <sheetFormatPr baseColWidth="10" defaultRowHeight="15"/>
  <cols>
    <col min="10" max="10" width="11.85546875" style="58" bestFit="1" customWidth="1"/>
    <col min="12" max="12" width="11.5703125" style="32" bestFit="1" customWidth="1"/>
    <col min="14" max="14" width="11.42578125" style="32"/>
  </cols>
  <sheetData>
    <row r="1" spans="1:17">
      <c r="A1" s="32"/>
      <c r="B1" s="32"/>
      <c r="C1" s="32"/>
      <c r="D1" s="32"/>
      <c r="E1" s="32"/>
      <c r="F1" s="32"/>
      <c r="G1" s="32"/>
      <c r="H1" s="32"/>
      <c r="I1" s="32"/>
      <c r="K1" s="32"/>
      <c r="M1" s="32"/>
      <c r="O1" s="32"/>
      <c r="P1" s="32"/>
      <c r="Q1" s="32"/>
    </row>
    <row r="2" spans="1:17">
      <c r="A2" s="32"/>
      <c r="B2" s="32"/>
      <c r="C2" s="32"/>
      <c r="D2" s="32"/>
      <c r="E2" s="32"/>
      <c r="F2" s="32"/>
      <c r="G2" s="32"/>
      <c r="H2" s="32"/>
      <c r="I2" s="32"/>
      <c r="K2" s="32"/>
      <c r="M2" s="32"/>
      <c r="O2" s="32"/>
      <c r="P2" s="32"/>
      <c r="Q2" s="32"/>
    </row>
    <row r="3" spans="1:17">
      <c r="A3" s="32"/>
      <c r="B3" s="56" t="s">
        <v>37</v>
      </c>
      <c r="C3" s="56">
        <v>7</v>
      </c>
      <c r="D3" s="56">
        <v>4</v>
      </c>
      <c r="E3" s="56">
        <v>2</v>
      </c>
      <c r="F3" s="56">
        <v>1</v>
      </c>
      <c r="G3" s="55">
        <v>0.54583333333333328</v>
      </c>
      <c r="H3" s="56">
        <v>14</v>
      </c>
      <c r="I3" s="56" t="s">
        <v>39</v>
      </c>
      <c r="K3" s="32"/>
      <c r="M3" s="32"/>
      <c r="O3" s="32"/>
      <c r="P3" s="32"/>
      <c r="Q3" s="32"/>
    </row>
    <row r="4" spans="1:17">
      <c r="A4" s="32"/>
      <c r="B4" s="56" t="s">
        <v>40</v>
      </c>
      <c r="C4" s="56" t="s">
        <v>41</v>
      </c>
      <c r="D4" s="56">
        <v>8</v>
      </c>
      <c r="E4" s="56">
        <v>4</v>
      </c>
      <c r="F4" s="56">
        <v>4</v>
      </c>
      <c r="G4" s="56">
        <v>0</v>
      </c>
      <c r="H4" s="55">
        <v>0.54722222222222217</v>
      </c>
      <c r="I4" s="55">
        <v>16</v>
      </c>
      <c r="J4" s="55" t="str">
        <f>LEFT(H4,2)</f>
        <v>0,</v>
      </c>
      <c r="K4" s="32"/>
      <c r="M4" s="32"/>
      <c r="O4" s="32"/>
      <c r="P4" s="32"/>
      <c r="Q4" s="32"/>
    </row>
    <row r="5" spans="1:17">
      <c r="A5" s="32"/>
      <c r="B5" s="56" t="s">
        <v>42</v>
      </c>
      <c r="C5" s="56" t="s">
        <v>43</v>
      </c>
      <c r="D5" s="56">
        <v>8</v>
      </c>
      <c r="E5" s="56">
        <v>3</v>
      </c>
      <c r="F5" s="56">
        <v>4</v>
      </c>
      <c r="G5" s="56">
        <v>1</v>
      </c>
      <c r="H5" s="55">
        <v>0.3354166666666667</v>
      </c>
      <c r="I5" s="56">
        <v>13</v>
      </c>
      <c r="J5" s="59" t="s">
        <v>39</v>
      </c>
      <c r="K5" s="57"/>
      <c r="L5" s="57"/>
      <c r="M5" s="57"/>
      <c r="N5" s="57"/>
      <c r="O5" s="32"/>
      <c r="P5" s="32"/>
      <c r="Q5" s="32"/>
    </row>
    <row r="6" spans="1:17">
      <c r="A6" s="32"/>
      <c r="B6" s="56" t="s">
        <v>44</v>
      </c>
      <c r="C6" s="56" t="s">
        <v>45</v>
      </c>
      <c r="D6" s="56">
        <v>8</v>
      </c>
      <c r="E6" s="56">
        <v>4</v>
      </c>
      <c r="F6" s="56">
        <v>2</v>
      </c>
      <c r="G6" s="56">
        <v>2</v>
      </c>
      <c r="H6" s="55">
        <v>0.46319444444444446</v>
      </c>
      <c r="I6" s="56">
        <v>14</v>
      </c>
      <c r="J6" s="59" t="s">
        <v>39</v>
      </c>
      <c r="K6" s="57"/>
      <c r="L6" s="57"/>
      <c r="M6" s="57"/>
      <c r="N6" s="57"/>
      <c r="O6" s="32"/>
      <c r="P6" s="32"/>
      <c r="Q6" s="32"/>
    </row>
    <row r="7" spans="1:17" ht="30">
      <c r="A7" s="32"/>
      <c r="B7" s="56" t="s">
        <v>46</v>
      </c>
      <c r="C7" s="56" t="s">
        <v>47</v>
      </c>
      <c r="D7" s="56">
        <v>8</v>
      </c>
      <c r="E7" s="56">
        <v>4</v>
      </c>
      <c r="F7" s="56">
        <v>2</v>
      </c>
      <c r="G7" s="56">
        <v>2</v>
      </c>
      <c r="H7" s="55">
        <v>0.42083333333333334</v>
      </c>
      <c r="I7" s="56">
        <v>14</v>
      </c>
      <c r="J7" s="59" t="s">
        <v>39</v>
      </c>
      <c r="K7" s="57"/>
      <c r="L7" s="57"/>
      <c r="M7" s="57"/>
      <c r="N7" s="57"/>
      <c r="O7" s="32"/>
      <c r="P7" s="32"/>
      <c r="Q7" s="32"/>
    </row>
    <row r="8" spans="1:17">
      <c r="A8" s="32"/>
      <c r="B8" s="56" t="s">
        <v>48</v>
      </c>
      <c r="C8" s="56" t="s">
        <v>49</v>
      </c>
      <c r="D8" s="56">
        <v>7</v>
      </c>
      <c r="E8" s="56">
        <v>3</v>
      </c>
      <c r="F8" s="56">
        <v>2</v>
      </c>
      <c r="G8" s="56">
        <v>2</v>
      </c>
      <c r="H8" s="55">
        <v>0.42083333333333334</v>
      </c>
      <c r="I8" s="56">
        <v>11</v>
      </c>
      <c r="J8" s="59" t="s">
        <v>39</v>
      </c>
      <c r="K8" s="57"/>
      <c r="L8" s="57"/>
      <c r="M8" s="57"/>
      <c r="N8" s="57"/>
      <c r="O8" s="32"/>
      <c r="P8" s="32"/>
      <c r="Q8" s="32"/>
    </row>
    <row r="9" spans="1:17">
      <c r="A9" s="32"/>
      <c r="B9" s="56" t="s">
        <v>50</v>
      </c>
      <c r="C9" s="56" t="s">
        <v>51</v>
      </c>
      <c r="D9" s="56">
        <v>8</v>
      </c>
      <c r="E9" s="56">
        <v>3</v>
      </c>
      <c r="F9" s="56">
        <v>2</v>
      </c>
      <c r="G9" s="56">
        <v>3</v>
      </c>
      <c r="H9" s="55">
        <v>0.42152777777777778</v>
      </c>
      <c r="I9" s="56">
        <v>11</v>
      </c>
      <c r="J9" s="59" t="s">
        <v>39</v>
      </c>
      <c r="K9" s="57"/>
      <c r="L9" s="57"/>
      <c r="M9" s="57"/>
      <c r="N9" s="57"/>
      <c r="O9" s="32"/>
      <c r="P9" s="32"/>
      <c r="Q9" s="32"/>
    </row>
    <row r="10" spans="1:17">
      <c r="A10" s="32"/>
      <c r="B10" s="56" t="s">
        <v>52</v>
      </c>
      <c r="C10" s="56" t="s">
        <v>53</v>
      </c>
      <c r="D10" s="56">
        <v>8</v>
      </c>
      <c r="E10" s="56">
        <v>4</v>
      </c>
      <c r="F10" s="56">
        <v>1</v>
      </c>
      <c r="G10" s="56">
        <v>3</v>
      </c>
      <c r="H10" s="55">
        <v>0.21041666666666667</v>
      </c>
      <c r="I10" s="56">
        <v>13</v>
      </c>
      <c r="J10" s="59" t="s">
        <v>39</v>
      </c>
      <c r="K10" s="57"/>
      <c r="L10" s="57"/>
      <c r="M10" s="57"/>
      <c r="N10" s="57"/>
      <c r="O10" s="32"/>
      <c r="P10" s="32"/>
      <c r="Q10" s="32"/>
    </row>
    <row r="11" spans="1:17" ht="30">
      <c r="A11" s="32"/>
      <c r="B11" s="56" t="s">
        <v>54</v>
      </c>
      <c r="C11" s="56" t="s">
        <v>55</v>
      </c>
      <c r="D11" s="56">
        <v>8</v>
      </c>
      <c r="E11" s="56">
        <v>4</v>
      </c>
      <c r="F11" s="56">
        <v>1</v>
      </c>
      <c r="G11" s="56">
        <v>3</v>
      </c>
      <c r="H11" s="55">
        <v>0.46527777777777773</v>
      </c>
      <c r="I11" s="56">
        <v>13</v>
      </c>
      <c r="J11" s="59" t="s">
        <v>39</v>
      </c>
      <c r="K11" s="57"/>
      <c r="L11" s="57"/>
      <c r="M11" s="57"/>
      <c r="N11" s="57"/>
      <c r="O11" s="32"/>
      <c r="P11" s="32"/>
      <c r="Q11" s="32"/>
    </row>
    <row r="12" spans="1:17">
      <c r="A12" s="32"/>
      <c r="B12" s="56" t="s">
        <v>56</v>
      </c>
      <c r="C12" s="56" t="s">
        <v>57</v>
      </c>
      <c r="D12" s="56">
        <v>7</v>
      </c>
      <c r="E12" s="56">
        <v>3</v>
      </c>
      <c r="F12" s="56">
        <v>2</v>
      </c>
      <c r="G12" s="56">
        <v>2</v>
      </c>
      <c r="H12" s="55">
        <v>0.46527777777777773</v>
      </c>
      <c r="I12" s="56">
        <v>11</v>
      </c>
      <c r="J12" s="59" t="s">
        <v>39</v>
      </c>
      <c r="K12" s="57"/>
      <c r="L12" s="57"/>
      <c r="M12" s="57"/>
      <c r="N12" s="57"/>
      <c r="O12" s="32"/>
      <c r="P12" s="32"/>
      <c r="Q12" s="32"/>
    </row>
    <row r="13" spans="1:17" ht="30">
      <c r="A13" s="32"/>
      <c r="B13" s="56" t="s">
        <v>58</v>
      </c>
      <c r="C13" s="56" t="s">
        <v>59</v>
      </c>
      <c r="D13" s="56">
        <v>8</v>
      </c>
      <c r="E13" s="56">
        <v>4</v>
      </c>
      <c r="F13" s="56">
        <v>2</v>
      </c>
      <c r="G13" s="56">
        <v>2</v>
      </c>
      <c r="H13" s="55">
        <v>0.5083333333333333</v>
      </c>
      <c r="I13" s="56">
        <v>14</v>
      </c>
      <c r="J13" s="59" t="s">
        <v>39</v>
      </c>
      <c r="K13" s="57"/>
      <c r="L13" s="57"/>
      <c r="M13" s="57"/>
      <c r="N13" s="57"/>
      <c r="O13" s="32"/>
      <c r="P13" s="32"/>
      <c r="Q13" s="32"/>
    </row>
    <row r="14" spans="1:17">
      <c r="A14" s="32"/>
      <c r="B14" s="56" t="s">
        <v>60</v>
      </c>
      <c r="C14" s="56" t="s">
        <v>61</v>
      </c>
      <c r="D14" s="56">
        <v>8</v>
      </c>
      <c r="E14" s="56">
        <v>2</v>
      </c>
      <c r="F14" s="56">
        <v>3</v>
      </c>
      <c r="G14" s="56">
        <v>3</v>
      </c>
      <c r="H14" s="55">
        <v>0.38194444444444442</v>
      </c>
      <c r="I14" s="56">
        <v>9</v>
      </c>
      <c r="J14" s="59" t="s">
        <v>39</v>
      </c>
      <c r="K14" s="57"/>
      <c r="L14" s="57"/>
      <c r="M14" s="57"/>
      <c r="N14" s="57"/>
      <c r="O14" s="32"/>
      <c r="P14" s="32"/>
      <c r="Q14" s="32"/>
    </row>
    <row r="15" spans="1:17">
      <c r="A15" s="32"/>
      <c r="B15" s="56" t="s">
        <v>62</v>
      </c>
      <c r="C15" s="56" t="s">
        <v>63</v>
      </c>
      <c r="D15" s="56">
        <v>7</v>
      </c>
      <c r="E15" s="56">
        <v>1</v>
      </c>
      <c r="F15" s="56">
        <v>3</v>
      </c>
      <c r="G15" s="56">
        <v>3</v>
      </c>
      <c r="H15" s="55">
        <v>0.29722222222222222</v>
      </c>
      <c r="I15" s="56">
        <v>6</v>
      </c>
      <c r="J15" s="59" t="s">
        <v>39</v>
      </c>
      <c r="K15" s="57"/>
      <c r="L15" s="57"/>
      <c r="M15" s="57"/>
      <c r="N15" s="57"/>
      <c r="O15" s="32"/>
      <c r="P15" s="32"/>
      <c r="Q15" s="32"/>
    </row>
    <row r="16" spans="1:17" ht="30">
      <c r="A16" s="32"/>
      <c r="B16" s="56" t="s">
        <v>64</v>
      </c>
      <c r="C16" s="56" t="s">
        <v>65</v>
      </c>
      <c r="D16" s="56">
        <v>7</v>
      </c>
      <c r="E16" s="56">
        <v>3</v>
      </c>
      <c r="F16" s="56">
        <v>1</v>
      </c>
      <c r="G16" s="56">
        <v>3</v>
      </c>
      <c r="H16" s="55">
        <v>0.42499999999999999</v>
      </c>
      <c r="I16" s="56">
        <v>10</v>
      </c>
      <c r="J16" s="59" t="s">
        <v>39</v>
      </c>
      <c r="K16" s="57"/>
      <c r="L16" s="57"/>
      <c r="M16" s="57"/>
      <c r="N16" s="57"/>
      <c r="O16" s="32"/>
      <c r="P16" s="32"/>
      <c r="Q16" s="32"/>
    </row>
    <row r="17" spans="1:17">
      <c r="A17" s="32"/>
      <c r="B17" s="56" t="s">
        <v>66</v>
      </c>
      <c r="C17" s="56" t="s">
        <v>67</v>
      </c>
      <c r="D17" s="56">
        <v>8</v>
      </c>
      <c r="E17" s="56">
        <v>2</v>
      </c>
      <c r="F17" s="56">
        <v>2</v>
      </c>
      <c r="G17" s="56">
        <v>4</v>
      </c>
      <c r="H17" s="55">
        <v>0.55208333333333337</v>
      </c>
      <c r="I17" s="56">
        <v>8</v>
      </c>
      <c r="J17" s="59" t="s">
        <v>39</v>
      </c>
      <c r="K17" s="57"/>
      <c r="L17" s="57"/>
      <c r="M17" s="57"/>
      <c r="N17" s="57"/>
      <c r="O17" s="32"/>
      <c r="P17" s="32"/>
      <c r="Q17" s="32"/>
    </row>
    <row r="18" spans="1:17">
      <c r="A18" s="32"/>
      <c r="B18" s="56" t="s">
        <v>68</v>
      </c>
      <c r="C18" s="56" t="s">
        <v>38</v>
      </c>
      <c r="D18" s="56">
        <v>7</v>
      </c>
      <c r="E18" s="56">
        <v>2</v>
      </c>
      <c r="F18" s="56">
        <v>2</v>
      </c>
      <c r="G18" s="56">
        <v>3</v>
      </c>
      <c r="H18" s="55">
        <v>0.25625000000000003</v>
      </c>
      <c r="I18" s="56">
        <v>8</v>
      </c>
      <c r="J18" s="59" t="s">
        <v>39</v>
      </c>
      <c r="K18" s="57"/>
      <c r="L18" s="57"/>
      <c r="M18" s="57"/>
      <c r="N18" s="57"/>
      <c r="O18" s="32"/>
      <c r="P18" s="32"/>
      <c r="Q18" s="32"/>
    </row>
    <row r="19" spans="1:17">
      <c r="A19" s="32"/>
      <c r="B19" s="56" t="s">
        <v>69</v>
      </c>
      <c r="C19" s="56" t="s">
        <v>70</v>
      </c>
      <c r="D19" s="56">
        <v>6</v>
      </c>
      <c r="E19" s="56">
        <v>2</v>
      </c>
      <c r="F19" s="56">
        <v>0</v>
      </c>
      <c r="G19" s="56">
        <v>4</v>
      </c>
      <c r="H19" s="55">
        <v>0.25625000000000003</v>
      </c>
      <c r="I19" s="56">
        <v>6</v>
      </c>
      <c r="J19" s="59" t="s">
        <v>39</v>
      </c>
      <c r="K19" s="57"/>
      <c r="L19" s="57"/>
      <c r="M19" s="57"/>
      <c r="N19" s="57"/>
      <c r="O19" s="32"/>
      <c r="P19" s="32"/>
      <c r="Q19" s="32"/>
    </row>
    <row r="20" spans="1:17" ht="30">
      <c r="A20" s="32"/>
      <c r="B20" s="56" t="s">
        <v>71</v>
      </c>
      <c r="C20" s="56" t="s">
        <v>72</v>
      </c>
      <c r="D20" s="56">
        <v>8</v>
      </c>
      <c r="E20" s="56">
        <v>2</v>
      </c>
      <c r="F20" s="56">
        <v>3</v>
      </c>
      <c r="G20" s="56">
        <v>3</v>
      </c>
      <c r="H20" s="55">
        <v>0.38541666666666669</v>
      </c>
      <c r="I20" s="56">
        <v>9</v>
      </c>
      <c r="J20" s="59" t="s">
        <v>39</v>
      </c>
      <c r="K20" s="57"/>
      <c r="L20" s="57"/>
      <c r="M20" s="57"/>
      <c r="N20" s="57"/>
      <c r="O20" s="32"/>
      <c r="P20" s="32"/>
      <c r="Q20" s="32"/>
    </row>
    <row r="21" spans="1:17">
      <c r="A21" s="32"/>
      <c r="B21" s="56" t="s">
        <v>73</v>
      </c>
      <c r="C21" s="56" t="s">
        <v>74</v>
      </c>
      <c r="D21" s="56">
        <v>8</v>
      </c>
      <c r="E21" s="56">
        <v>0</v>
      </c>
      <c r="F21" s="56">
        <v>3</v>
      </c>
      <c r="G21" s="56">
        <v>5</v>
      </c>
      <c r="H21" s="55">
        <v>0.17569444444444446</v>
      </c>
      <c r="I21" s="56">
        <v>3</v>
      </c>
      <c r="J21" s="59" t="s">
        <v>39</v>
      </c>
      <c r="K21" s="57"/>
      <c r="L21" s="57"/>
      <c r="M21" s="57"/>
      <c r="N21" s="57"/>
      <c r="O21" s="32"/>
      <c r="P21" s="32"/>
      <c r="Q21" s="32"/>
    </row>
    <row r="22" spans="1:17">
      <c r="A22" s="32"/>
      <c r="B22" s="56" t="s">
        <v>75</v>
      </c>
      <c r="C22" s="56" t="s">
        <v>76</v>
      </c>
      <c r="D22" s="56">
        <v>8</v>
      </c>
      <c r="E22" s="56">
        <v>0</v>
      </c>
      <c r="F22" s="56">
        <v>3</v>
      </c>
      <c r="G22" s="56">
        <v>5</v>
      </c>
      <c r="H22" s="55">
        <v>0.13333333333333333</v>
      </c>
      <c r="I22" s="56">
        <v>3</v>
      </c>
      <c r="J22" s="59" t="s">
        <v>39</v>
      </c>
      <c r="K22" s="57"/>
      <c r="L22" s="57"/>
      <c r="M22" s="57"/>
      <c r="N22" s="57"/>
      <c r="O22" s="32"/>
      <c r="P22" s="32"/>
      <c r="Q22" s="32"/>
    </row>
    <row r="23" spans="1:17">
      <c r="A23" s="32"/>
      <c r="B23" s="32"/>
      <c r="C23" s="32"/>
      <c r="D23" s="32"/>
      <c r="E23" s="32"/>
      <c r="F23" s="57"/>
      <c r="G23" s="57"/>
      <c r="H23" s="57"/>
      <c r="I23" s="57"/>
      <c r="J23" s="59"/>
      <c r="K23" s="57"/>
      <c r="L23" s="57"/>
      <c r="M23" s="57"/>
      <c r="N23" s="57"/>
      <c r="O23" s="32"/>
      <c r="P23" s="32"/>
      <c r="Q23" s="32"/>
    </row>
    <row r="24" spans="1:17">
      <c r="A24" s="32"/>
      <c r="B24" s="32"/>
      <c r="C24" s="32"/>
      <c r="D24" s="32"/>
      <c r="E24" s="32"/>
      <c r="F24" s="32"/>
      <c r="G24" s="32"/>
      <c r="H24" s="32"/>
      <c r="I24" s="32"/>
      <c r="K24" s="32"/>
      <c r="M24" s="32"/>
      <c r="O24" s="32"/>
      <c r="P24" s="32"/>
      <c r="Q24" s="32"/>
    </row>
    <row r="25" spans="1:17">
      <c r="A25" s="32"/>
      <c r="B25" s="32"/>
      <c r="C25" s="32"/>
      <c r="D25" s="32"/>
      <c r="E25" s="32"/>
      <c r="F25" s="32"/>
      <c r="G25" s="32"/>
      <c r="H25" s="32"/>
      <c r="I25" s="32"/>
      <c r="K25" s="32"/>
      <c r="M25" s="32"/>
      <c r="O25" s="32"/>
      <c r="P25" s="32"/>
      <c r="Q25" s="32"/>
    </row>
    <row r="26" spans="1:17">
      <c r="A26" s="32"/>
      <c r="B26" s="32"/>
      <c r="C26" s="32"/>
      <c r="D26" s="32"/>
      <c r="E26" s="32"/>
      <c r="F26" s="32"/>
      <c r="G26" s="32"/>
      <c r="H26" s="32"/>
      <c r="I26" s="32"/>
      <c r="K26" s="32"/>
      <c r="M26" s="32"/>
      <c r="O26" s="32"/>
      <c r="P26" s="32"/>
      <c r="Q26" s="32"/>
    </row>
    <row r="27" spans="1:17">
      <c r="A27" s="32"/>
      <c r="B27" s="32"/>
      <c r="C27" s="32"/>
      <c r="D27" s="32"/>
      <c r="E27" s="32"/>
      <c r="F27" s="32"/>
      <c r="G27" s="32"/>
      <c r="H27" s="32"/>
      <c r="I27" s="32"/>
      <c r="K27" s="32"/>
      <c r="M27" s="32"/>
      <c r="O27" s="32"/>
      <c r="P27" s="32"/>
      <c r="Q27" s="32"/>
    </row>
    <row r="28" spans="1:17">
      <c r="A28" s="32"/>
      <c r="B28" s="32"/>
      <c r="C28" s="32"/>
      <c r="D28" s="32"/>
      <c r="E28" s="32"/>
      <c r="F28" s="32"/>
      <c r="G28" s="32"/>
      <c r="H28" s="32"/>
      <c r="I28" s="32"/>
      <c r="K28" s="32"/>
      <c r="M28" s="32"/>
      <c r="O28" s="32"/>
      <c r="P28" s="32"/>
      <c r="Q28" s="32"/>
    </row>
    <row r="29" spans="1:17">
      <c r="A29" s="32"/>
      <c r="B29" s="32"/>
      <c r="C29" s="32"/>
      <c r="D29" s="32"/>
      <c r="E29" s="32"/>
      <c r="F29" s="32"/>
      <c r="G29" s="32"/>
      <c r="H29" s="32"/>
      <c r="I29" s="32"/>
      <c r="K29" s="32"/>
      <c r="M29" s="32"/>
      <c r="O29" s="32"/>
      <c r="P29" s="32"/>
      <c r="Q29" s="32"/>
    </row>
    <row r="30" spans="1:17">
      <c r="A30" s="32"/>
      <c r="B30" s="32"/>
      <c r="C30" s="32"/>
      <c r="D30" s="32"/>
      <c r="E30" s="32"/>
      <c r="F30" s="32"/>
      <c r="G30" s="32"/>
      <c r="H30" s="32"/>
      <c r="I30" s="32"/>
      <c r="K30" s="32"/>
      <c r="M30" s="32"/>
      <c r="O30" s="32"/>
      <c r="P30" s="32"/>
      <c r="Q30" s="32"/>
    </row>
    <row r="31" spans="1:17">
      <c r="A31" s="32"/>
      <c r="B31" s="32"/>
      <c r="C31" s="32"/>
      <c r="D31" s="32"/>
      <c r="E31" s="32"/>
      <c r="F31" s="32"/>
      <c r="G31" s="32"/>
      <c r="H31" s="32"/>
      <c r="I31" s="32"/>
      <c r="K31" s="32"/>
      <c r="M31" s="32"/>
      <c r="O31" s="32"/>
      <c r="P31" s="32"/>
      <c r="Q31" s="32"/>
    </row>
    <row r="32" spans="1:17">
      <c r="A32" s="32"/>
      <c r="B32" s="32"/>
      <c r="C32" s="32"/>
      <c r="D32" s="32"/>
      <c r="E32" s="32"/>
      <c r="F32" s="32"/>
      <c r="G32" s="32"/>
      <c r="H32" s="32"/>
      <c r="I32" s="32"/>
      <c r="K32" s="32"/>
      <c r="M32" s="32"/>
      <c r="O32" s="32"/>
      <c r="P32" s="32"/>
      <c r="Q32" s="32"/>
    </row>
    <row r="33" spans="1:17">
      <c r="A33" s="32"/>
      <c r="B33" s="32"/>
      <c r="C33" s="32"/>
      <c r="D33" s="32"/>
      <c r="E33" s="32"/>
      <c r="F33" s="32"/>
      <c r="G33" s="32"/>
      <c r="H33" s="32"/>
      <c r="I33" s="32"/>
      <c r="K33" s="32"/>
      <c r="M33" s="32"/>
      <c r="O33" s="32"/>
      <c r="P33" s="32"/>
      <c r="Q33" s="32"/>
    </row>
    <row r="34" spans="1:17">
      <c r="A34" s="32"/>
      <c r="B34" s="32"/>
      <c r="C34" s="32"/>
      <c r="D34" s="32"/>
      <c r="E34" s="32"/>
      <c r="F34" s="32"/>
      <c r="G34" s="32"/>
      <c r="H34" s="32"/>
      <c r="I34" s="32"/>
      <c r="K34" s="32"/>
      <c r="M34" s="32"/>
      <c r="O34" s="32"/>
      <c r="P34" s="32"/>
      <c r="Q34" s="32"/>
    </row>
    <row r="35" spans="1:17">
      <c r="A35" s="32"/>
      <c r="B35" s="32"/>
      <c r="C35" s="32"/>
      <c r="D35" s="32"/>
      <c r="E35" s="32"/>
      <c r="F35" s="32"/>
      <c r="G35" s="32"/>
      <c r="H35" s="32"/>
      <c r="I35" s="32"/>
      <c r="K35" s="32"/>
      <c r="M35" s="32"/>
      <c r="O35" s="32"/>
      <c r="P35" s="32"/>
      <c r="Q35" s="32"/>
    </row>
    <row r="36" spans="1:17">
      <c r="A36" s="32"/>
      <c r="B36" s="32"/>
      <c r="C36" s="32"/>
      <c r="D36" s="32"/>
      <c r="E36" s="32"/>
      <c r="F36" s="32"/>
      <c r="G36" s="32"/>
      <c r="H36" s="32"/>
      <c r="I36" s="32"/>
      <c r="K36" s="32"/>
      <c r="M36" s="32"/>
      <c r="O36" s="32"/>
      <c r="P36" s="32"/>
      <c r="Q36" s="32"/>
    </row>
    <row r="37" spans="1:17">
      <c r="A37" s="32"/>
      <c r="B37" s="32"/>
      <c r="C37" s="32"/>
      <c r="D37" s="32"/>
      <c r="E37" s="32"/>
      <c r="F37" s="32"/>
      <c r="G37" s="32"/>
      <c r="H37" s="32"/>
      <c r="I37" s="32"/>
      <c r="K37" s="32"/>
      <c r="M37" s="32"/>
      <c r="O37" s="32"/>
      <c r="P37" s="32"/>
      <c r="Q37" s="32"/>
    </row>
    <row r="38" spans="1:17">
      <c r="A38" s="32"/>
      <c r="B38" s="32"/>
      <c r="C38" s="32"/>
      <c r="D38" s="32"/>
      <c r="E38" s="32"/>
      <c r="F38" s="32"/>
      <c r="G38" s="32"/>
      <c r="H38" s="32"/>
      <c r="I38" s="32"/>
      <c r="K38" s="32"/>
      <c r="M38" s="32"/>
      <c r="O38" s="32"/>
      <c r="P38" s="32"/>
      <c r="Q38" s="32"/>
    </row>
    <row r="39" spans="1:17">
      <c r="A39" s="32"/>
      <c r="B39" s="32"/>
      <c r="C39" s="32"/>
      <c r="D39" s="32"/>
      <c r="E39" s="32"/>
      <c r="F39" s="32"/>
      <c r="G39" s="32"/>
      <c r="H39" s="32"/>
      <c r="I39" s="32"/>
      <c r="K39" s="32"/>
      <c r="M39" s="32"/>
      <c r="O39" s="32"/>
      <c r="P39" s="32"/>
      <c r="Q39" s="32"/>
    </row>
  </sheetData>
  <pageMargins left="0.7" right="0.7" top="0.75" bottom="0.75" header="0.3" footer="0.3"/>
  <pageSetup paperSize="9" orientation="portrait" horizontalDpi="200" verticalDpi="2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Resumen</vt:lpstr>
      <vt:lpstr>Cálculos</vt:lpstr>
      <vt:lpstr>Hoja3</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2006-09-12T12:46:56Z</dcterms:created>
  <dcterms:modified xsi:type="dcterms:W3CDTF">2018-06-02T23:17:28Z</dcterms:modified>
</cp:coreProperties>
</file>