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<sst xmlns="http://schemas.openxmlformats.org/spreadsheetml/2006/main" count="151" uniqueCount="106">
  <si>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</si>
  <si>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</si>
  <si>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</si>
  <si>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</si>
  <si>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</si>
  <si>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</si>
  <si>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</si>
  <si>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</si>
  <si>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</si>
  <si>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</si>
  <si>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</si>
  <si>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</si>
  <si>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</si>
  <si>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</si>
  <si>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</si>
  <si>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</si>
  <si>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</si>
  <si>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</si>
  <si>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</si>
  <si>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</si>
  <si>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</si>
  <si>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</si>
  <si>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</si>
  <si>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</si>
  <si>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</si>
  <si>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</si>
  <si>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</si>
  <si>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</si>
  <si>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</si>
  <si>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</si>
  <si>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</si>
  <si>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</si>
  <si>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</si>
  <si>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</si>
  <si>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</si>
  <si>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</si>
  <si>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</si>
  <si>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</si>
  <si>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</si>
  <si>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</si>
  <si>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</si>
  <si>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</si>
  <si>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</si>
  <si>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</si>
  <si>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</si>
  <si>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</si>
  <si>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</si>
  <si>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</si>
  <si>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</si>
  <si>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</si>
  <si>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</si>
  <si>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</si>
  <si>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</si>
  <si>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</si>
  <si>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</si>
  <si>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</si>
  <si>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</si>
  <si>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</si>
  <si>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</si>
  <si>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</si>
  <si>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</si>
  <si>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</si>
  <si>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</si>
  <si>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</si>
  <si>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</si>
  <si>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</si>
  <si>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</si>
  <si>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</si>
  <si>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</si>
  <si>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</si>
  <si>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</si>
  <si>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</si>
  <si>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</si>
  <si>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</si>
  <si>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</si>
  <si>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</si>
  <si>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</si>
  <si>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</si>
  <si>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</si>
  <si>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</si>
  <si>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</si>
  <si>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</si>
  <si>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</si>
  <si>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</si>
  <si>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</si>
  <si>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</si>
  <si>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</si>
  <si>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</si>
  <si>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</si>
  <si>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</si>
  <si>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</si>
  <si>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</si>
  <si>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</si>
  <si>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</si>
  <si>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</si>
  <si>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</si>
  <si>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</si>
  <si>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</si>
  <si>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</si>
  <si>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0-1</t>
  </si>
  <si>
    <t>Vict. LCL o empate</t>
  </si>
  <si>
    <t>Vict. VST o empate</t>
  </si>
  <si>
    <t>1-1</t>
  </si>
  <si>
    <t>Mineros</t>
  </si>
  <si>
    <t>Carabobo</t>
  </si>
  <si>
    <t>Venezuela División 1</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</si>
</sst>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96">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D11" sqref="D11"/>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23" t="s">
        <v>32</v>
      </c>
      <c r="G2" s="121"/>
      <c r="H2" s="121"/>
      <c r="I2" s="127" t="s">
        <v>31</v>
      </c>
      <c r="J2" s="121" t="s">
        <v>33</v>
      </c>
      <c r="K2" s="121"/>
      <c r="L2" s="122"/>
      <c r="N2" s="133" t="s">
        <v>36</v>
      </c>
      <c r="O2" s="134"/>
      <c r="P2" s="134"/>
      <c r="Q2" s="134"/>
      <c r="R2" s="134"/>
      <c r="S2" s="54">
        <v>33</v>
      </c>
    </row>
    <row r="3" spans="1:33" ht="15.75" thickBot="1">
      <c r="F3" s="126" t="str">
        <f>Cálculos!I4</f>
        <v>Mineros</v>
      </c>
      <c r="G3" s="124"/>
      <c r="H3" s="124"/>
      <c r="I3" s="128"/>
      <c r="J3" s="124" t="str">
        <f>Cálculos!M4</f>
        <v>Carabobo</v>
      </c>
      <c r="K3" s="124"/>
      <c r="L3" s="125"/>
    </row>
    <row r="4" spans="1:33" ht="15.75" thickBot="1">
      <c r="G4" s="118" t="str">
        <f>Cálculos!J5</f>
        <v>Venezuela División 1</v>
      </c>
      <c r="H4" s="119"/>
      <c r="I4" s="119"/>
      <c r="J4" s="119"/>
      <c r="K4" s="120"/>
    </row>
    <row r="6" spans="1:33">
      <c r="A6" s="138"/>
      <c r="B6" s="138"/>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row>
    <row r="7" spans="1:33" ht="15.75" thickBot="1"/>
    <row r="8" spans="1:33" ht="15.75" thickBot="1">
      <c r="D8" s="150" t="s">
        <v>81</v>
      </c>
      <c r="E8" s="151"/>
      <c r="F8" s="151"/>
      <c r="G8" s="151"/>
      <c r="H8" s="151"/>
      <c r="I8" s="151"/>
      <c r="J8" s="151"/>
      <c r="K8" s="151"/>
      <c r="L8" s="151"/>
      <c r="M8" s="151"/>
      <c r="N8" s="152"/>
      <c r="R8" s="135" t="s">
        <v>5</v>
      </c>
      <c r="S8" s="136"/>
      <c r="T8" s="136"/>
      <c r="U8" s="137"/>
      <c r="V8"/>
      <c r="W8" s="135" t="s">
        <v>6</v>
      </c>
      <c r="X8" s="136"/>
      <c r="Y8" s="136"/>
      <c r="Z8" s="137"/>
      <c r="AA8"/>
      <c r="AB8" s="106" t="s">
        <v>89</v>
      </c>
      <c r="AC8" s="108">
        <f>SUM(E12:N20,F11:N11,G10:N10,D13:D20)</f>
        <v>0.42346197741485198</v>
      </c>
    </row>
    <row r="9" spans="1:33" ht="15.75" customHeight="1" thickBot="1">
      <c r="C9" s="68" t="s">
        <v>79</v>
      </c>
      <c r="D9" s="95">
        <v>0</v>
      </c>
      <c r="E9" s="82">
        <v>1</v>
      </c>
      <c r="F9" s="82">
        <v>2</v>
      </c>
      <c r="G9" s="82">
        <v>3</v>
      </c>
      <c r="H9" s="82">
        <v>4</v>
      </c>
      <c r="I9" s="82">
        <v>5</v>
      </c>
      <c r="J9" s="82">
        <v>6</v>
      </c>
      <c r="K9" s="82">
        <v>7</v>
      </c>
      <c r="L9" s="82">
        <v>8</v>
      </c>
      <c r="M9" s="82">
        <v>9</v>
      </c>
      <c r="N9" s="83">
        <v>10</v>
      </c>
      <c r="R9" s="143" t="s">
        <v>2</v>
      </c>
      <c r="S9" s="144"/>
      <c r="T9" s="11" t="s">
        <v>4</v>
      </c>
      <c r="U9" s="86">
        <f>Cálculos!E35</f>
        <v>1.4444444444444444</v>
      </c>
      <c r="V9"/>
      <c r="W9" s="143" t="s">
        <v>2</v>
      </c>
      <c r="X9" s="144"/>
      <c r="Y9" s="11" t="s">
        <v>4</v>
      </c>
      <c r="Z9" s="86">
        <f>Cálculos!J35</f>
        <v>1.875</v>
      </c>
      <c r="AA9"/>
      <c r="AB9" s="109" t="s">
        <v>90</v>
      </c>
      <c r="AC9" s="107">
        <f>SUM(D10:D12,E11,E10,F10)</f>
        <v>0.57653895724574811</v>
      </c>
    </row>
    <row r="10" spans="1:33" ht="15.75" customHeight="1" thickBot="1">
      <c r="B10" s="147" t="s">
        <v>80</v>
      </c>
      <c r="C10" s="94">
        <v>0</v>
      </c>
      <c r="D10" s="102">
        <f>Cálculos!L11*Cálculos!M11</f>
        <v>9.3115456027781027E-2</v>
      </c>
      <c r="E10" s="96">
        <f>Cálculos!M12*Cálculos!L11</f>
        <v>0.14230401456300437</v>
      </c>
      <c r="F10" s="77">
        <f>Cálculos!M13*Cálculos!L11</f>
        <v>0.10873829879921353</v>
      </c>
      <c r="G10" s="77">
        <f>Cálculos!M14*Cálculos!L11</f>
        <v>5.5393225843777427E-2</v>
      </c>
      <c r="H10" s="77">
        <f>Cálculos!M15*Cálculos!L11</f>
        <v>2.1163721774645271E-2</v>
      </c>
      <c r="I10" s="77">
        <f>Cálculos!M16*Cálculos!L11</f>
        <v>6.4687060561201713E-3</v>
      </c>
      <c r="J10" s="77">
        <f>Cálculos!M17*Cálculos!L11</f>
        <v>1.6476370305614307E-3</v>
      </c>
      <c r="K10" s="77">
        <f>Cálculos!M18*Cálculos!L11</f>
        <v>3.5971527636401092E-4</v>
      </c>
      <c r="L10" s="77">
        <f>Cálculos!M19*Cálculos!L11</f>
        <v>6.8717012875616371E-5</v>
      </c>
      <c r="M10" s="77">
        <f>Cálculos!M20*Cálculos!L11</f>
        <v>1.1668556695488511E-5</v>
      </c>
      <c r="N10" s="84">
        <f>Cálculos!M21*Cálculos!L11</f>
        <v>1.7832511730690916E-6</v>
      </c>
      <c r="R10" s="145" t="s">
        <v>3</v>
      </c>
      <c r="S10" s="146"/>
      <c r="T10" s="12" t="s">
        <v>4</v>
      </c>
      <c r="U10" s="87">
        <f>Cálculos!E36</f>
        <v>0.77777777777777779</v>
      </c>
      <c r="V10"/>
      <c r="W10" s="145" t="s">
        <v>3</v>
      </c>
      <c r="X10" s="146"/>
      <c r="Y10" s="12" t="s">
        <v>4</v>
      </c>
      <c r="Z10" s="87">
        <f>Cálculos!J36</f>
        <v>0.75</v>
      </c>
      <c r="AA10"/>
    </row>
    <row r="11" spans="1:33" ht="15.75" thickBot="1">
      <c r="B11" s="148"/>
      <c r="C11" s="66">
        <v>1</v>
      </c>
      <c r="D11" s="99">
        <f>Cálculos!L12*Cálculos!M11</f>
        <v>7.8744320594921965E-2</v>
      </c>
      <c r="E11" s="103">
        <f>Cálculos!L12*Cálculos!M12</f>
        <v>0.12034127762152029</v>
      </c>
      <c r="F11" s="97">
        <f>Cálculos!L12*Cálculos!M13</f>
        <v>9.1955984826375736E-2</v>
      </c>
      <c r="G11" s="80">
        <f>Cálculos!L12*Cálculos!M14</f>
        <v>4.6844016242888316E-2</v>
      </c>
      <c r="H11" s="80">
        <f>Cálculos!L12*Cálculos!M15</f>
        <v>1.7897382061976806E-2</v>
      </c>
      <c r="I11" s="80">
        <f>Cálculos!L12*Cálculos!M16</f>
        <v>5.4703470857240741E-3</v>
      </c>
      <c r="J11" s="80">
        <f>Cálculos!L12*Cálculos!M17</f>
        <v>1.393346111303863E-3</v>
      </c>
      <c r="K11" s="80">
        <f>Cálculos!L12*Cálculos!M18</f>
        <v>3.0419799519048376E-4</v>
      </c>
      <c r="L11" s="80">
        <f>Cálculos!L12*Cálculos!M19</f>
        <v>5.8111453490476602E-5</v>
      </c>
      <c r="M11" s="80">
        <f>Cálculos!L12*Cálculos!M20</f>
        <v>9.8676697565164321E-6</v>
      </c>
      <c r="N11" s="81">
        <f>Cálculos!L12*Cálculos!M21</f>
        <v>1.5080300098785814E-6</v>
      </c>
      <c r="S11"/>
      <c r="T11"/>
      <c r="U11"/>
      <c r="V11"/>
      <c r="W11"/>
      <c r="X11"/>
      <c r="Y11"/>
      <c r="Z11"/>
      <c r="AA11"/>
      <c r="AB11" s="155" t="s">
        <v>91</v>
      </c>
      <c r="AC11" s="156"/>
    </row>
    <row r="12" spans="1:33" ht="15.75" customHeight="1" thickBot="1">
      <c r="B12" s="148"/>
      <c r="C12" s="66">
        <v>2</v>
      </c>
      <c r="D12" s="76">
        <f>Cálculos!L13*Cálculos!M11</f>
        <v>3.3295589639306927E-2</v>
      </c>
      <c r="E12" s="100">
        <f>Cálculos!L13*Cálculos!M12</f>
        <v>5.0884098892262718E-2</v>
      </c>
      <c r="F12" s="103">
        <f>Cálculos!L13*Cálculos!M13</f>
        <v>3.8881899196356567E-2</v>
      </c>
      <c r="G12" s="97">
        <f>Cálculos!L13*Cálculos!M14</f>
        <v>1.9807131868006981E-2</v>
      </c>
      <c r="H12" s="80">
        <f>Cálculos!L13*Cálculos!M15</f>
        <v>7.5675792774812633E-3</v>
      </c>
      <c r="I12" s="80">
        <f>Cálculos!L13*Cálculos!M16</f>
        <v>2.3130357894356256E-3</v>
      </c>
      <c r="J12" s="80">
        <f>Cálculos!L13*Cálculos!M17</f>
        <v>5.8915081109340629E-4</v>
      </c>
      <c r="K12" s="80">
        <f>Cálculos!L13*Cálculos!M18</f>
        <v>1.286245349561803E-4</v>
      </c>
      <c r="L12" s="80">
        <f>Cálculos!L13*Cálculos!M19</f>
        <v>2.4571360755220655E-5</v>
      </c>
      <c r="M12" s="80">
        <f>Cálculos!L13*Cálculos!M20</f>
        <v>4.1723629136290775E-6</v>
      </c>
      <c r="N12" s="81">
        <f>Cálculos!L13*Cálculos!M21</f>
        <v>6.3764279116677247E-7</v>
      </c>
      <c r="R12" s="141" t="s">
        <v>28</v>
      </c>
      <c r="S12" s="139" t="s">
        <v>7</v>
      </c>
      <c r="T12" s="139"/>
      <c r="U12" s="139"/>
      <c r="V12" s="139"/>
      <c r="W12" s="139"/>
      <c r="X12" s="139"/>
      <c r="Y12" s="140"/>
      <c r="Z12"/>
      <c r="AA12"/>
      <c r="AB12" s="115" t="s">
        <v>97</v>
      </c>
      <c r="AC12" s="116" t="s">
        <v>98</v>
      </c>
    </row>
    <row r="13" spans="1:33" ht="15.75" customHeight="1" thickBot="1">
      <c r="B13" s="148"/>
      <c r="C13" s="66">
        <v>3</v>
      </c>
      <c r="D13" s="76">
        <f>Cálculos!L14*Cálculos!M11</f>
        <v>9.3856190182229991E-3</v>
      </c>
      <c r="E13" s="78">
        <f>Cálculos!L14*Cálculos!M12</f>
        <v>1.4343604407130181E-2</v>
      </c>
      <c r="F13" s="100">
        <f>Cálculos!L14*Cálculos!M13</f>
        <v>1.09603312785648E-2</v>
      </c>
      <c r="G13" s="103">
        <f>Cálculos!L14*Cálculos!M14</f>
        <v>5.5833879372825818E-3</v>
      </c>
      <c r="H13" s="97">
        <f>Cálculos!L14*Cálculos!M15</f>
        <v>2.1332079340859178E-3</v>
      </c>
      <c r="I13" s="80">
        <f>Cálculos!L14*Cálculos!M16</f>
        <v>6.5201646615468533E-4</v>
      </c>
      <c r="J13" s="80">
        <f>Cálculos!L14*Cálculos!M17</f>
        <v>1.6607439955566687E-4</v>
      </c>
      <c r="K13" s="80">
        <f>Cálculos!L14*Cálculos!M18</f>
        <v>3.6257681409841647E-5</v>
      </c>
      <c r="L13" s="80">
        <f>Cálculos!L14*Cálculos!M19</f>
        <v>6.9263657230915377E-6</v>
      </c>
      <c r="M13" s="80">
        <f>Cálculos!L14*Cálculos!M20</f>
        <v>1.176138015193911E-6</v>
      </c>
      <c r="N13" s="81">
        <f>Cálculos!L14*Cálculos!M21</f>
        <v>1.7974369495900096E-7</v>
      </c>
      <c r="O13" s="32"/>
      <c r="R13" s="142"/>
      <c r="S13" s="104">
        <v>0</v>
      </c>
      <c r="T13" s="104">
        <v>1</v>
      </c>
      <c r="U13" s="104">
        <v>2</v>
      </c>
      <c r="V13" s="104">
        <v>3</v>
      </c>
      <c r="W13" s="104">
        <v>4</v>
      </c>
      <c r="X13" s="104">
        <v>5</v>
      </c>
      <c r="Y13" s="105">
        <v>6</v>
      </c>
      <c r="Z13"/>
      <c r="AA13" s="33"/>
      <c r="AB13" s="117">
        <f>SUM(E11:N20)</f>
        <v>0.44692890688000553</v>
      </c>
      <c r="AC13" s="107">
        <f>SUM(D10:D20,E10:N10)</f>
        <v>0.55307202778059505</v>
      </c>
    </row>
    <row r="14" spans="1:33" ht="15.75" customHeight="1" thickBot="1">
      <c r="B14" s="148"/>
      <c r="C14" s="66">
        <v>4</v>
      </c>
      <c r="D14" s="76">
        <f>Cálculos!L15*Cálculos!M11</f>
        <v>1.9842683064674265E-3</v>
      </c>
      <c r="E14" s="78">
        <f>Cálculos!L15*Cálculos!M12</f>
        <v>3.0324648347982495E-3</v>
      </c>
      <c r="F14" s="78">
        <f>Cálculos!L15*Cálculos!M13</f>
        <v>2.3171873844669844E-3</v>
      </c>
      <c r="G14" s="100">
        <f>Cálculos!L15*Cálculos!M14</f>
        <v>1.180416518628301E-3</v>
      </c>
      <c r="H14" s="103">
        <f>Cálculos!L15*Cálculos!M15</f>
        <v>4.5099389677900621E-4</v>
      </c>
      <c r="I14" s="97">
        <f>Cálculos!L15*Cálculos!M16</f>
        <v>1.3784659345043252E-4</v>
      </c>
      <c r="J14" s="80">
        <f>Cálculos!L15*Cálculos!M17</f>
        <v>3.5110754752999724E-5</v>
      </c>
      <c r="K14" s="80">
        <f>Cálculos!L15*Cálculos!M18</f>
        <v>7.6654473133689459E-6</v>
      </c>
      <c r="L14" s="80">
        <f>Cálculos!L15*Cálculos!M19</f>
        <v>1.4643432635234979E-6</v>
      </c>
      <c r="M14" s="80">
        <f>Cálculos!L15*Cálculos!M20</f>
        <v>2.4865417859488618E-7</v>
      </c>
      <c r="N14" s="81">
        <f>Cálculos!L15*Cálculos!M21</f>
        <v>3.8000659999304098E-8</v>
      </c>
      <c r="O14" s="33"/>
      <c r="R14" s="24" t="s">
        <v>8</v>
      </c>
      <c r="S14" s="46">
        <f>Cálculos!L11</f>
        <v>0.42927278636925714</v>
      </c>
      <c r="T14" s="47">
        <f>Cálculos!L12</f>
        <v>0.36302022622808355</v>
      </c>
      <c r="U14" s="47">
        <f>Cálculos!L13</f>
        <v>0.15349643494210419</v>
      </c>
      <c r="V14" s="47">
        <f>Cálculos!L14</f>
        <v>4.3268765461996213E-2</v>
      </c>
      <c r="W14" s="47">
        <f>Cálculos!L15</f>
        <v>9.1477013715891235E-3</v>
      </c>
      <c r="X14" s="47">
        <f>Cálculos!L16</f>
        <v>1.5471750023886705E-3</v>
      </c>
      <c r="Y14" s="48">
        <f>Cálculos!L17</f>
        <v>2.180648440866685E-4</v>
      </c>
      <c r="Z14"/>
      <c r="AA14"/>
    </row>
    <row r="15" spans="1:33" ht="15.75" thickBot="1">
      <c r="B15" s="148"/>
      <c r="C15" s="66">
        <v>5</v>
      </c>
      <c r="D15" s="76">
        <f>Cálculos!L16*Cálculos!M11</f>
        <v>3.3560456305813867E-4</v>
      </c>
      <c r="E15" s="78">
        <f>Cálculos!L16*Cálculos!M12</f>
        <v>5.1288882282429576E-4</v>
      </c>
      <c r="F15" s="78">
        <f>Cálculos!L16*Cálculos!M13</f>
        <v>3.9191204997490064E-4</v>
      </c>
      <c r="G15" s="78">
        <f>Cálculos!L16*Cálculos!M14</f>
        <v>1.9964697751289882E-4</v>
      </c>
      <c r="H15" s="100">
        <f>Cálculos!L16*Cálculos!M15</f>
        <v>7.6277794276653334E-5</v>
      </c>
      <c r="I15" s="103">
        <f>Cálculos!L16*Cálculos!M16</f>
        <v>2.331436006572366E-5</v>
      </c>
      <c r="J15" s="97">
        <f>Cálculos!L16*Cálculos!M17</f>
        <v>5.93837510235684E-6</v>
      </c>
      <c r="K15" s="80">
        <f>Cálculos!L16*Cálculos!M18</f>
        <v>1.2964774410111249E-6</v>
      </c>
      <c r="L15" s="80">
        <f>Cálculos!L16*Cálculos!M19</f>
        <v>2.4766826115206098E-7</v>
      </c>
      <c r="M15" s="80">
        <f>Cálculos!L16*Cálculos!M20</f>
        <v>4.2055540920512634E-8</v>
      </c>
      <c r="N15" s="81">
        <f>Cálculos!L16*Cálculos!M21</f>
        <v>6.4271524437598504E-9</v>
      </c>
      <c r="O15" s="33"/>
      <c r="R15" s="25" t="s">
        <v>9</v>
      </c>
      <c r="S15" s="49">
        <f>Cálculos!M11</f>
        <v>0.21691441662384772</v>
      </c>
      <c r="T15" s="50">
        <f>Cálculos!M12</f>
        <v>0.33150020006298642</v>
      </c>
      <c r="U15" s="50">
        <f>Cálculos!M13</f>
        <v>0.25330815801045836</v>
      </c>
      <c r="V15" s="50">
        <f>Cálculos!M14</f>
        <v>0.12903968665772492</v>
      </c>
      <c r="W15" s="50">
        <f>Cálculos!M15</f>
        <v>4.9301335762850805E-2</v>
      </c>
      <c r="X15" s="50">
        <f>Cálculos!M16</f>
        <v>1.5068987043953539E-2</v>
      </c>
      <c r="Y15" s="51">
        <f>Cálculos!M17</f>
        <v>3.8382051760070019E-3</v>
      </c>
      <c r="Z15"/>
      <c r="AA15" s="33"/>
      <c r="AB15" s="161" t="s">
        <v>86</v>
      </c>
      <c r="AC15" s="162"/>
    </row>
    <row r="16" spans="1:33" ht="15.75" thickBot="1">
      <c r="B16" s="148"/>
      <c r="C16" s="66">
        <v>6</v>
      </c>
      <c r="D16" s="76">
        <f>Cálculos!L17*Cálculos!M11</f>
        <v>4.7301408441230009E-5</v>
      </c>
      <c r="E16" s="78">
        <f>Cálculos!L17*Cálculos!M12</f>
        <v>7.2288539441434552E-5</v>
      </c>
      <c r="F16" s="78">
        <f>Cálculos!L17*Cálculos!M13</f>
        <v>5.523760398243179E-5</v>
      </c>
      <c r="G16" s="78">
        <f>Cálculos!L17*Cálculos!M14</f>
        <v>2.8139019152009341E-5</v>
      </c>
      <c r="H16" s="78">
        <f>Cálculos!L17*Cálculos!M15</f>
        <v>1.0750888096390555E-5</v>
      </c>
      <c r="I16" s="100">
        <f>Cálculos!L17*Cálculos!M16</f>
        <v>3.2860163102837561E-6</v>
      </c>
      <c r="J16" s="103">
        <f>Cálculos!L17*Cálculos!M17</f>
        <v>8.3697761327861083E-7</v>
      </c>
      <c r="K16" s="97">
        <f>Cálculos!L17*Cálculos!M18</f>
        <v>1.8273055769353232E-7</v>
      </c>
      <c r="L16" s="80">
        <f>Cálculos!L17*Cálculos!M19</f>
        <v>3.4907325073090232E-8</v>
      </c>
      <c r="M16" s="80">
        <f>Cálculos!L17*Cálculos!M20</f>
        <v>5.9274710098426613E-9</v>
      </c>
      <c r="N16" s="81">
        <f>Cálculos!L17*Cálculos!M21</f>
        <v>9.0586778703503E-10</v>
      </c>
      <c r="O16" s="33"/>
      <c r="S16"/>
      <c r="T16"/>
      <c r="U16"/>
      <c r="V16"/>
      <c r="W16"/>
      <c r="X16"/>
      <c r="Y16"/>
      <c r="Z16"/>
      <c r="AA16"/>
      <c r="AB16" s="159" t="s">
        <v>99</v>
      </c>
      <c r="AC16" s="160"/>
    </row>
    <row r="17" spans="1:33" ht="15.75" customHeight="1" thickBot="1">
      <c r="B17" s="148"/>
      <c r="C17" s="66">
        <v>7</v>
      </c>
      <c r="D17" s="76">
        <f>Cálculos!L18*Cálculos!M11</f>
        <v>5.7144376451413071E-6</v>
      </c>
      <c r="E17" s="78">
        <f>Cálculos!L18*Cálculos!M12</f>
        <v>8.7331089011791367E-6</v>
      </c>
      <c r="F17" s="78">
        <f>Cálculos!L18*Cálculos!M13</f>
        <v>6.6732017930671053E-6</v>
      </c>
      <c r="G17" s="78">
        <f>Cálculos!L18*Cálculos!M14</f>
        <v>3.3994478312285333E-6</v>
      </c>
      <c r="H17" s="78">
        <f>Cálculos!L18*Cálculos!M15</f>
        <v>1.2988044475049084E-6</v>
      </c>
      <c r="I17" s="78">
        <f>Cálculos!L18*Cálculos!M16</f>
        <v>3.9698046897196247E-7</v>
      </c>
      <c r="J17" s="100">
        <f>Cálculos!L18*Cálculos!M17</f>
        <v>1.0111446020475929E-7</v>
      </c>
      <c r="K17" s="103">
        <f>Cálculos!L18*Cálculos!M18</f>
        <v>2.2075502870045901E-8</v>
      </c>
      <c r="L17" s="97">
        <f>Cálculos!L18*Cálculos!M19</f>
        <v>4.217120357773109E-9</v>
      </c>
      <c r="M17" s="80">
        <f>Cálculos!L18*Cálculos!M20</f>
        <v>7.1609206988441772E-10</v>
      </c>
      <c r="N17" s="81">
        <f>Cálculos!L18*Cálculos!M21</f>
        <v>1.0943701581709636E-10</v>
      </c>
      <c r="R17" s="131"/>
      <c r="S17" s="132"/>
      <c r="T17" s="88" t="s">
        <v>88</v>
      </c>
      <c r="U17" s="89" t="s">
        <v>87</v>
      </c>
      <c r="V17"/>
      <c r="Y17"/>
      <c r="AB17" s="157" t="s">
        <v>102</v>
      </c>
      <c r="AC17" s="158"/>
    </row>
    <row r="18" spans="1:33" ht="15.75" thickBot="1">
      <c r="B18" s="148"/>
      <c r="C18" s="66">
        <v>8</v>
      </c>
      <c r="D18" s="76">
        <f>Cálculos!L19*Cálculos!M11</f>
        <v>6.0406124979730333E-7</v>
      </c>
      <c r="E18" s="78">
        <f>Cálculos!L19*Cálculos!M12</f>
        <v>9.2315867370563903E-7</v>
      </c>
      <c r="F18" s="78">
        <f>Cálculos!L19*Cálculos!M13</f>
        <v>7.0541020229647498E-7</v>
      </c>
      <c r="G18" s="78">
        <f>Cálculos!L19*Cálculos!M14</f>
        <v>3.5934851914931727E-7</v>
      </c>
      <c r="H18" s="78">
        <f>Cálculos!L19*Cálculos!M15</f>
        <v>1.372939012588894E-7</v>
      </c>
      <c r="I18" s="78">
        <f>Cálculos!L19*Cálculos!M16</f>
        <v>4.1963974956698206E-8</v>
      </c>
      <c r="J18" s="78">
        <f>Cálculos!L19*Cálculos!M17</f>
        <v>1.068859807330284E-8</v>
      </c>
      <c r="K18" s="100">
        <f>Cálculos!L19*Cálculos!M18</f>
        <v>2.333555230044712E-9</v>
      </c>
      <c r="L18" s="103">
        <f>Cálculos!L19*Cálculos!M19</f>
        <v>4.4578297149291633E-10</v>
      </c>
      <c r="M18" s="97">
        <f>Cálculos!L19*Cálculos!M20</f>
        <v>7.5696594759784592E-11</v>
      </c>
      <c r="N18" s="81">
        <f>Cálculos!L19*Cálculos!M21</f>
        <v>1.1568358017655436E-11</v>
      </c>
      <c r="R18" s="129" t="s">
        <v>27</v>
      </c>
      <c r="S18" s="130"/>
      <c r="T18" s="90">
        <f>Cálculos!C39</f>
        <v>1.1275510204081634</v>
      </c>
      <c r="U18" s="91">
        <f>Cálculos!D39</f>
        <v>1.9648972602739725</v>
      </c>
      <c r="V18"/>
      <c r="Y18"/>
    </row>
    <row r="19" spans="1:33" ht="15.75" thickBot="1">
      <c r="B19" s="148"/>
      <c r="C19" s="66">
        <v>9</v>
      </c>
      <c r="D19" s="76">
        <f>Cálculos!L20*Cálculos!M11</f>
        <v>5.6759156549831641E-8</v>
      </c>
      <c r="E19" s="78">
        <f>Cálculos!L20*Cálculos!M12</f>
        <v>8.6742375377953308E-8</v>
      </c>
      <c r="F19" s="78">
        <f>Cálculos!L20*Cálculos!M13</f>
        <v>6.6282166117143258E-8</v>
      </c>
      <c r="G19" s="78">
        <f>Cálculos!L20*Cálculos!M14</f>
        <v>3.3765315787414582E-8</v>
      </c>
      <c r="H19" s="78">
        <f>Cálculos!L20*Cálculos!M15</f>
        <v>1.290048987168986E-8</v>
      </c>
      <c r="I19" s="78">
        <f>Cálculos!L20*Cálculos!M16</f>
        <v>3.9430435652339719E-9</v>
      </c>
      <c r="J19" s="78">
        <f>Cálculos!L20*Cálculos!M17</f>
        <v>1.0043283053571118E-9</v>
      </c>
      <c r="K19" s="78">
        <f>Cálculos!L20*Cálculos!M18</f>
        <v>2.1926688173464339E-10</v>
      </c>
      <c r="L19" s="100">
        <f>Cálculos!L20*Cálculos!M19</f>
        <v>4.1886920365618402E-11</v>
      </c>
      <c r="M19" s="103">
        <f>Cálculos!L20*Cálculos!M20</f>
        <v>7.1126477219015271E-12</v>
      </c>
      <c r="N19" s="98">
        <f>Cálculos!L20*Cálculos!M21</f>
        <v>1.0869928239378617E-12</v>
      </c>
      <c r="R19" s="129" t="s">
        <v>77</v>
      </c>
      <c r="S19" s="130"/>
      <c r="T19" s="90">
        <f>Cálculos!C40</f>
        <v>0.81506849315068486</v>
      </c>
      <c r="U19" s="91">
        <f>Cálculos!D40</f>
        <v>0.58545918367346939</v>
      </c>
      <c r="V19"/>
      <c r="Y19"/>
      <c r="Z19"/>
      <c r="AA19" s="169" t="s">
        <v>100</v>
      </c>
      <c r="AB19" s="167"/>
      <c r="AC19" s="167" t="s">
        <v>101</v>
      </c>
      <c r="AD19" s="168"/>
    </row>
    <row r="20" spans="1:33" ht="15.75" thickBot="1">
      <c r="B20" s="149"/>
      <c r="C20" s="67">
        <v>10</v>
      </c>
      <c r="D20" s="85">
        <f>Cálculos!L21*Cálculos!M11</f>
        <v>4.7999133663952025E-9</v>
      </c>
      <c r="E20" s="79">
        <f>Cálculos!L21*Cálculos!M12</f>
        <v>7.3354840402529409E-9</v>
      </c>
      <c r="F20" s="79">
        <f>Cálculos!L21*Cálculos!M13</f>
        <v>5.6052393030186209E-9</v>
      </c>
      <c r="G20" s="79">
        <f>Cálculos!L21*Cálculos!M14</f>
        <v>2.8554087202877388E-9</v>
      </c>
      <c r="H20" s="79">
        <f>Cálculos!L21*Cálculos!M15</f>
        <v>1.090947038894181E-9</v>
      </c>
      <c r="I20" s="79">
        <f>Cálculos!L21*Cálculos!M16</f>
        <v>3.3344870966200559E-10</v>
      </c>
      <c r="J20" s="79">
        <f>Cálculos!L21*Cálculos!M17</f>
        <v>8.4932355414765982E-11</v>
      </c>
      <c r="K20" s="79">
        <f>Cálculos!L21*Cálculos!M18</f>
        <v>1.8542594718120994E-11</v>
      </c>
      <c r="L20" s="79">
        <f>Cálculos!L21*Cálculos!M19</f>
        <v>3.542222985000639E-12</v>
      </c>
      <c r="M20" s="101">
        <f>Cálculos!L21*Cálculos!M20</f>
        <v>6.0149048974753997E-13</v>
      </c>
      <c r="N20" s="103">
        <f>Cálculos!L21*Cálculos!M21</f>
        <v>9.1922990085561538E-14</v>
      </c>
      <c r="R20" s="153" t="s">
        <v>78</v>
      </c>
      <c r="S20" s="154"/>
      <c r="T20" s="92">
        <f>Cálculos!C41</f>
        <v>0.84566326530612246</v>
      </c>
      <c r="U20" s="93">
        <f>Cálculos!D41</f>
        <v>1.5282534246575341</v>
      </c>
      <c r="V20"/>
      <c r="Y20"/>
      <c r="Z20"/>
      <c r="AA20" s="163">
        <f>SUM(D10:D20,E11:E20,F12:F20,G13:G20,H14:H20,I15:I20,J16:J20,K17:K20,L18:L20,M19:M20,N20)</f>
        <v>0.46628780824404104</v>
      </c>
      <c r="AB20" s="164"/>
      <c r="AC20" s="165">
        <f>SUM(D10:N10,E11:N11,F12:N12,G13:N13,H14:N14,I15:N15,J16:N16,K17:N17,L18:N18,M19:N19,N20)</f>
        <v>0.79211031496244766</v>
      </c>
      <c r="AD20" s="166"/>
    </row>
    <row r="21" spans="1:33" ht="15.75" thickBot="1">
      <c r="AB21" s="170">
        <f>SUM(D10,E11,F12,G13,H14,I15,J16,K17,L18,M19,N20)</f>
        <v>0.25839718854588883</v>
      </c>
      <c r="AC21" s="171"/>
    </row>
    <row r="23" spans="1:33">
      <c r="A23" s="1"/>
      <c r="B23" s="1"/>
      <c r="C23" s="1"/>
      <c r="D23" s="1"/>
      <c r="E23" s="1"/>
      <c r="F23" s="1"/>
      <c r="G23" s="1"/>
      <c r="H23" s="1"/>
      <c r="I23" s="1"/>
      <c r="J23" s="1"/>
      <c r="K23" s="1"/>
      <c r="L23" s="1"/>
      <c r="M23" s="1"/>
      <c r="N23" s="1"/>
      <c r="O23" s="1"/>
      <c r="P23" s="1"/>
      <c r="Q23" s="1"/>
      <c r="R23" s="1"/>
      <c r="S23" s="75"/>
      <c r="T23" s="75"/>
      <c r="U23" s="75"/>
      <c r="V23" s="138"/>
      <c r="W23" s="138"/>
      <c r="X23" s="138"/>
      <c r="Y23" s="138"/>
      <c r="Z23" s="138"/>
      <c r="AA23" s="138"/>
      <c r="AB23" s="138"/>
      <c r="AC23" s="138"/>
      <c r="AD23" s="138"/>
      <c r="AE23" s="138"/>
      <c r="AF23" s="138"/>
      <c r="AG23" s="13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V6:AG6"/>
    <mergeCell ref="V23:AG23"/>
    <mergeCell ref="AB11:AC11"/>
    <mergeCell ref="AB17:AC17"/>
    <mergeCell ref="AB16:AC16"/>
    <mergeCell ref="AB15:AC15"/>
    <mergeCell ref="AA20:AB20"/>
    <mergeCell ref="AC20:AD20"/>
    <mergeCell ref="AC19:AD19"/>
    <mergeCell ref="AA19:AB19"/>
    <mergeCell ref="AB21:AC21"/>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A6" sqref="A6:U7"/>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5" t="s">
        <v>34</v>
      </c>
      <c r="C2" s="175"/>
    </row>
    <row r="3" spans="1:26">
      <c r="I3" s="176" t="s">
        <v>32</v>
      </c>
      <c r="J3" s="177"/>
      <c r="K3" s="177"/>
      <c r="L3" s="178" t="s">
        <v>31</v>
      </c>
      <c r="M3" s="177" t="s">
        <v>33</v>
      </c>
      <c r="N3" s="177"/>
      <c r="O3" s="180"/>
    </row>
    <row r="4" spans="1:26" ht="15.75" thickBot="1">
      <c r="I4" s="181" t="s">
        <v>103</v>
      </c>
      <c r="J4" s="182"/>
      <c r="K4" s="182"/>
      <c r="L4" s="179"/>
      <c r="M4" s="182" t="s">
        <v>104</v>
      </c>
      <c r="N4" s="182"/>
      <c r="O4" s="183"/>
    </row>
    <row r="5" spans="1:26" ht="15.75" thickBot="1">
      <c r="J5" s="172" t="s">
        <v>105</v>
      </c>
      <c r="K5" s="173"/>
      <c r="L5" s="173"/>
      <c r="M5" s="173"/>
      <c r="N5" s="174"/>
    </row>
    <row r="6" spans="1:26">
      <c r="A6" s="184" t="s">
        <v>29</v>
      </c>
      <c r="B6" s="184"/>
      <c r="C6" s="184"/>
      <c r="D6" s="184"/>
      <c r="E6" s="184"/>
      <c r="F6" s="184"/>
      <c r="G6" s="184"/>
      <c r="H6" s="184"/>
      <c r="I6" s="184"/>
      <c r="J6" s="184"/>
      <c r="K6" s="184"/>
      <c r="L6" s="184"/>
      <c r="M6" s="184"/>
      <c r="N6" s="184"/>
      <c r="O6" s="184"/>
      <c r="P6" s="184"/>
      <c r="Q6" s="184"/>
      <c r="R6" s="184"/>
      <c r="S6" s="184"/>
      <c r="T6" s="184"/>
      <c r="U6" s="184"/>
    </row>
    <row r="7" spans="1:26" ht="15.75" thickBot="1">
      <c r="A7" s="185"/>
      <c r="B7" s="185"/>
      <c r="C7" s="185"/>
      <c r="D7" s="185"/>
      <c r="E7" s="185"/>
      <c r="F7" s="185"/>
      <c r="G7" s="185"/>
      <c r="H7" s="185"/>
      <c r="I7" s="185"/>
      <c r="J7" s="185"/>
      <c r="K7" s="185"/>
      <c r="L7" s="185"/>
      <c r="M7" s="185"/>
      <c r="N7" s="185"/>
      <c r="O7" s="185"/>
      <c r="P7" s="185"/>
      <c r="Q7" s="185"/>
      <c r="R7" s="185"/>
      <c r="S7" s="185"/>
      <c r="T7" s="185"/>
      <c r="U7" s="185"/>
    </row>
    <row r="8" spans="1:26" ht="15.75" thickTop="1"/>
    <row r="9" spans="1:26" ht="15.75" thickBot="1">
      <c r="P9" s="186" t="s">
        <v>23</v>
      </c>
      <c r="Q9" s="186"/>
    </row>
    <row r="10" spans="1:26" ht="15.75" thickBot="1">
      <c r="C10" s="191" t="s">
        <v>10</v>
      </c>
      <c r="D10" s="192"/>
      <c r="H10" s="193" t="s">
        <v>14</v>
      </c>
      <c r="I10" s="194"/>
      <c r="K10" s="15"/>
      <c r="L10" s="16" t="s">
        <v>0</v>
      </c>
      <c r="M10" s="17" t="s">
        <v>1</v>
      </c>
      <c r="P10" s="14" t="s">
        <v>95</v>
      </c>
      <c r="Q10" s="14" t="s">
        <v>96</v>
      </c>
      <c r="R10" s="14" t="s">
        <v>93</v>
      </c>
      <c r="T10" s="195" t="s">
        <v>94</v>
      </c>
      <c r="U10" s="195"/>
      <c r="V10" s="195"/>
      <c r="W10" s="195"/>
      <c r="X10" s="195"/>
      <c r="Y10" s="195"/>
      <c r="Z10" s="195"/>
    </row>
    <row r="11" spans="1:26" ht="15.75" thickBot="1">
      <c r="C11" s="22" t="s">
        <v>11</v>
      </c>
      <c r="D11" s="23" t="s">
        <v>12</v>
      </c>
      <c r="E11" s="7"/>
      <c r="H11" s="30" t="s">
        <v>12</v>
      </c>
      <c r="I11" s="31" t="s">
        <v>11</v>
      </c>
      <c r="K11" s="24" t="s">
        <v>16</v>
      </c>
      <c r="L11" s="52">
        <f>((C41^0)*(2.71828^(-C41)))/FACT(0)</f>
        <v>0.42927278636925714</v>
      </c>
      <c r="M11" s="53">
        <f>((D41^0)*(2.71828^(-D41)))/FACT(0)</f>
        <v>0.21691441662384772</v>
      </c>
      <c r="P11" s="34">
        <v>19</v>
      </c>
      <c r="Q11" s="35">
        <v>11</v>
      </c>
      <c r="R11" s="110">
        <v>8</v>
      </c>
      <c r="T11" s="195"/>
      <c r="U11" s="195"/>
      <c r="V11" s="195"/>
      <c r="W11" s="195"/>
      <c r="X11" s="195"/>
      <c r="Y11" s="195"/>
      <c r="Z11" s="195"/>
    </row>
    <row r="12" spans="1:26">
      <c r="B12">
        <v>1</v>
      </c>
      <c r="C12" s="40">
        <v>1</v>
      </c>
      <c r="D12" s="41">
        <v>0</v>
      </c>
      <c r="G12">
        <v>1</v>
      </c>
      <c r="H12" s="40">
        <v>0</v>
      </c>
      <c r="I12" s="41">
        <v>6</v>
      </c>
      <c r="K12" s="24" t="s">
        <v>17</v>
      </c>
      <c r="L12" s="52">
        <f>((C41^1)*(2.71828^(-C41)))/FACT(1)</f>
        <v>0.36302022622808355</v>
      </c>
      <c r="M12" s="53">
        <f>((D41^1)*(2.71828^(-D41)))/FACT(1)</f>
        <v>0.33150020006298642</v>
      </c>
      <c r="P12" s="36">
        <v>17</v>
      </c>
      <c r="Q12" s="37">
        <v>12</v>
      </c>
      <c r="R12" s="111">
        <v>8</v>
      </c>
      <c r="T12" s="195"/>
      <c r="U12" s="195"/>
      <c r="V12" s="195"/>
      <c r="W12" s="195"/>
      <c r="X12" s="195"/>
      <c r="Y12" s="195"/>
      <c r="Z12" s="195"/>
    </row>
    <row r="13" spans="1:26">
      <c r="B13">
        <v>2</v>
      </c>
      <c r="C13" s="42">
        <v>1</v>
      </c>
      <c r="D13" s="37">
        <v>1</v>
      </c>
      <c r="G13">
        <v>2</v>
      </c>
      <c r="H13" s="42">
        <v>0</v>
      </c>
      <c r="I13" s="37">
        <v>0</v>
      </c>
      <c r="K13" s="24" t="s">
        <v>18</v>
      </c>
      <c r="L13" s="52">
        <f>((C41^2)*(2.71828^(-C41)))/FACT(2)</f>
        <v>0.15349643494210419</v>
      </c>
      <c r="M13" s="53">
        <f>((D41^2)*(2.71828^(-D41)))/FACT(2)</f>
        <v>0.25330815801045836</v>
      </c>
      <c r="P13" s="36">
        <v>13</v>
      </c>
      <c r="Q13" s="37">
        <v>12</v>
      </c>
      <c r="R13" s="111">
        <v>8</v>
      </c>
      <c r="T13" s="195"/>
      <c r="U13" s="195"/>
      <c r="V13" s="195"/>
      <c r="W13" s="195"/>
      <c r="X13" s="195"/>
      <c r="Y13" s="195"/>
      <c r="Z13" s="195"/>
    </row>
    <row r="14" spans="1:26">
      <c r="B14">
        <v>3</v>
      </c>
      <c r="C14" s="42">
        <v>3</v>
      </c>
      <c r="D14" s="37">
        <v>3</v>
      </c>
      <c r="G14">
        <v>3</v>
      </c>
      <c r="H14" s="42">
        <v>3</v>
      </c>
      <c r="I14" s="37">
        <v>3</v>
      </c>
      <c r="K14" s="24" t="s">
        <v>19</v>
      </c>
      <c r="L14" s="52">
        <f>((C41^3)*(2.71828^(-C41)))/FACT(3)</f>
        <v>4.3268765461996213E-2</v>
      </c>
      <c r="M14" s="53">
        <f>((D41^3)*(2.71828^(-D41)))/FACT(3)</f>
        <v>0.12903968665772492</v>
      </c>
      <c r="P14" s="36">
        <v>13</v>
      </c>
      <c r="Q14" s="37">
        <v>9</v>
      </c>
      <c r="R14" s="111">
        <v>9</v>
      </c>
    </row>
    <row r="15" spans="1:26">
      <c r="B15">
        <v>4</v>
      </c>
      <c r="C15" s="42">
        <v>2</v>
      </c>
      <c r="D15" s="37">
        <v>0</v>
      </c>
      <c r="G15">
        <v>4</v>
      </c>
      <c r="H15" s="42">
        <v>0</v>
      </c>
      <c r="I15" s="37">
        <v>1</v>
      </c>
      <c r="K15" s="24" t="s">
        <v>21</v>
      </c>
      <c r="L15" s="52">
        <f>((C41^4)*(2.71828^(-C41)))/FACT(4)</f>
        <v>9.1477013715891235E-3</v>
      </c>
      <c r="M15" s="53">
        <f>((D41^4)*(2.71828^(-D41)))/FACT(4)</f>
        <v>4.9301335762850805E-2</v>
      </c>
      <c r="P15" s="36">
        <v>13</v>
      </c>
      <c r="Q15" s="37">
        <v>14</v>
      </c>
      <c r="R15" s="111">
        <v>9</v>
      </c>
    </row>
    <row r="16" spans="1:26">
      <c r="B16">
        <v>5</v>
      </c>
      <c r="C16" s="42">
        <v>1</v>
      </c>
      <c r="D16" s="37">
        <v>0</v>
      </c>
      <c r="G16">
        <v>5</v>
      </c>
      <c r="H16" s="42">
        <v>0</v>
      </c>
      <c r="I16" s="37">
        <v>1</v>
      </c>
      <c r="K16" s="24" t="s">
        <v>20</v>
      </c>
      <c r="L16" s="52">
        <f>((C41^5)*(2.71828^(-C41)))/FACT(5)</f>
        <v>1.5471750023886705E-3</v>
      </c>
      <c r="M16" s="53">
        <f>((D41^5)*(2.71828^(-D41)))/FACT(5)</f>
        <v>1.5068987043953539E-2</v>
      </c>
      <c r="P16" s="36">
        <v>14</v>
      </c>
      <c r="Q16" s="37">
        <v>8</v>
      </c>
      <c r="R16" s="111">
        <v>8</v>
      </c>
    </row>
    <row r="17" spans="2:18">
      <c r="B17">
        <v>6</v>
      </c>
      <c r="C17" s="42">
        <v>1</v>
      </c>
      <c r="D17" s="37">
        <v>1</v>
      </c>
      <c r="G17">
        <v>6</v>
      </c>
      <c r="H17" s="42">
        <v>0</v>
      </c>
      <c r="I17" s="37">
        <v>0</v>
      </c>
      <c r="K17" s="69" t="s">
        <v>22</v>
      </c>
      <c r="L17" s="70">
        <f>((C41^6)*(2.71828^(-C41)))/FACT(6)</f>
        <v>2.180648440866685E-4</v>
      </c>
      <c r="M17" s="71">
        <f>((D41^6)*(2.71828^(-D41)))/FACT(6)</f>
        <v>3.8382051760070019E-3</v>
      </c>
      <c r="P17" s="36">
        <v>9</v>
      </c>
      <c r="Q17" s="37">
        <v>8</v>
      </c>
      <c r="R17" s="111">
        <v>8</v>
      </c>
    </row>
    <row r="18" spans="2:18">
      <c r="B18">
        <v>7</v>
      </c>
      <c r="C18" s="42">
        <v>0</v>
      </c>
      <c r="D18" s="37">
        <v>1</v>
      </c>
      <c r="G18">
        <v>7</v>
      </c>
      <c r="H18" s="42">
        <v>3</v>
      </c>
      <c r="I18" s="37">
        <v>2</v>
      </c>
      <c r="K18" s="72" t="s">
        <v>82</v>
      </c>
      <c r="L18" s="52">
        <f>((C41^7)*(2.71828^(-C41)))/FACT(7)</f>
        <v>2.6344204014114651E-5</v>
      </c>
      <c r="M18" s="53">
        <f>((D41^7)*(2.71828^(-D41)))/FACT(7)</f>
        <v>8.3796431496728193E-4</v>
      </c>
      <c r="P18" s="36">
        <v>13</v>
      </c>
      <c r="Q18" s="37">
        <v>7</v>
      </c>
      <c r="R18" s="111">
        <v>9</v>
      </c>
    </row>
    <row r="19" spans="2:18">
      <c r="B19">
        <v>8</v>
      </c>
      <c r="C19" s="42">
        <v>2</v>
      </c>
      <c r="D19" s="37">
        <v>0</v>
      </c>
      <c r="G19">
        <v>8</v>
      </c>
      <c r="H19" s="42">
        <v>0</v>
      </c>
      <c r="I19" s="37">
        <v>2</v>
      </c>
      <c r="K19" s="72" t="s">
        <v>83</v>
      </c>
      <c r="L19" s="52">
        <f>((C41^8)*(2.71828^(-C41)))/FACT(8)</f>
        <v>2.7847906985583568E-6</v>
      </c>
      <c r="M19" s="53">
        <f>((D41^8)*(2.71828^(-D41)))/FACT(8)</f>
        <v>1.6007772926119414E-4</v>
      </c>
      <c r="P19" s="36">
        <v>13</v>
      </c>
      <c r="Q19" s="37">
        <v>8</v>
      </c>
      <c r="R19" s="111">
        <v>9</v>
      </c>
    </row>
    <row r="20" spans="2:18">
      <c r="B20">
        <v>9</v>
      </c>
      <c r="C20" s="42">
        <v>2</v>
      </c>
      <c r="D20" s="37">
        <v>1</v>
      </c>
      <c r="G20">
        <v>9</v>
      </c>
      <c r="H20" s="42"/>
      <c r="I20" s="37"/>
      <c r="K20" s="72" t="s">
        <v>84</v>
      </c>
      <c r="L20" s="52">
        <f>((C41^9)*(2.71828^(-C41)))/FACT(9)</f>
        <v>2.616661328152197E-7</v>
      </c>
      <c r="M20" s="53">
        <f>((D41^9)*(2.71828^(-D41)))/FACT(9)</f>
        <v>2.7182148661646834E-5</v>
      </c>
      <c r="P20" s="36">
        <v>6</v>
      </c>
      <c r="Q20" s="37">
        <v>8</v>
      </c>
      <c r="R20" s="111">
        <v>8</v>
      </c>
    </row>
    <row r="21" spans="2:18" ht="15.75" thickBot="1">
      <c r="B21">
        <v>10</v>
      </c>
      <c r="C21" s="42"/>
      <c r="D21" s="37"/>
      <c r="G21">
        <v>10</v>
      </c>
      <c r="H21" s="42"/>
      <c r="I21" s="37"/>
      <c r="K21" s="73" t="s">
        <v>85</v>
      </c>
      <c r="L21" s="50">
        <f>((C41^10)*(2.71828^(-C41)))/FACT(10)</f>
        <v>2.2128143629654426E-8</v>
      </c>
      <c r="M21" s="51">
        <f>((D41^10)*(2.71828^(-D41)))/FACT(10)</f>
        <v>4.1541211781711982E-6</v>
      </c>
      <c r="P21" s="36">
        <v>14</v>
      </c>
      <c r="Q21" s="37">
        <v>6</v>
      </c>
      <c r="R21" s="111">
        <v>8</v>
      </c>
    </row>
    <row r="22" spans="2:18">
      <c r="B22">
        <v>11</v>
      </c>
      <c r="C22" s="42"/>
      <c r="D22" s="37"/>
      <c r="G22">
        <v>11</v>
      </c>
      <c r="H22" s="42"/>
      <c r="I22" s="37"/>
      <c r="P22" s="36">
        <v>8</v>
      </c>
      <c r="Q22" s="37">
        <v>6</v>
      </c>
      <c r="R22" s="111">
        <v>9</v>
      </c>
    </row>
    <row r="23" spans="2:18">
      <c r="B23">
        <v>12</v>
      </c>
      <c r="C23" s="42"/>
      <c r="D23" s="37"/>
      <c r="G23">
        <v>12</v>
      </c>
      <c r="H23" s="42"/>
      <c r="I23" s="37"/>
      <c r="P23" s="36">
        <v>5</v>
      </c>
      <c r="Q23" s="37">
        <v>10</v>
      </c>
      <c r="R23" s="111">
        <v>9</v>
      </c>
    </row>
    <row r="24" spans="2:18">
      <c r="B24">
        <v>13</v>
      </c>
      <c r="C24" s="42"/>
      <c r="D24" s="37"/>
      <c r="G24">
        <v>13</v>
      </c>
      <c r="H24" s="42"/>
      <c r="I24" s="37"/>
      <c r="P24" s="36">
        <v>7</v>
      </c>
      <c r="Q24" s="37">
        <v>3</v>
      </c>
      <c r="R24" s="111">
        <v>9</v>
      </c>
    </row>
    <row r="25" spans="2:18">
      <c r="B25">
        <v>14</v>
      </c>
      <c r="C25" s="42"/>
      <c r="D25" s="37"/>
      <c r="G25">
        <v>14</v>
      </c>
      <c r="H25" s="42"/>
      <c r="I25" s="37"/>
      <c r="P25" s="36">
        <v>12</v>
      </c>
      <c r="Q25" s="37">
        <v>2</v>
      </c>
      <c r="R25" s="111">
        <v>8</v>
      </c>
    </row>
    <row r="26" spans="2:18">
      <c r="B26">
        <v>15</v>
      </c>
      <c r="C26" s="42"/>
      <c r="D26" s="37"/>
      <c r="G26">
        <v>15</v>
      </c>
      <c r="H26" s="42"/>
      <c r="I26" s="37"/>
      <c r="P26" s="36">
        <v>9</v>
      </c>
      <c r="Q26" s="37">
        <v>9</v>
      </c>
      <c r="R26" s="111">
        <v>9</v>
      </c>
    </row>
    <row r="27" spans="2:18">
      <c r="B27">
        <v>16</v>
      </c>
      <c r="C27" s="43"/>
      <c r="D27" s="39"/>
      <c r="G27">
        <v>16</v>
      </c>
      <c r="H27" s="43"/>
      <c r="I27" s="39"/>
      <c r="P27" s="36">
        <v>5</v>
      </c>
      <c r="Q27" s="37">
        <v>8</v>
      </c>
      <c r="R27" s="111">
        <v>9</v>
      </c>
    </row>
    <row r="28" spans="2:18">
      <c r="B28">
        <v>17</v>
      </c>
      <c r="C28" s="43"/>
      <c r="D28" s="39"/>
      <c r="G28">
        <v>17</v>
      </c>
      <c r="H28" s="43"/>
      <c r="I28" s="39"/>
      <c r="P28" s="36">
        <v>6</v>
      </c>
      <c r="Q28" s="37">
        <v>5</v>
      </c>
      <c r="R28" s="111">
        <v>8</v>
      </c>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13</v>
      </c>
      <c r="D31" s="9">
        <f>SUM(D12:D30)</f>
        <v>7</v>
      </c>
      <c r="G31" s="27" t="s">
        <v>13</v>
      </c>
      <c r="H31" s="28">
        <f>SUM(H12:H30)</f>
        <v>6</v>
      </c>
      <c r="I31" s="29">
        <f>SUM(I12:I30)</f>
        <v>15</v>
      </c>
      <c r="P31" s="36"/>
      <c r="Q31" s="37"/>
      <c r="R31" s="111"/>
    </row>
    <row r="32" spans="2:18" ht="15.75" thickBot="1">
      <c r="B32" s="14" t="s">
        <v>15</v>
      </c>
      <c r="C32" s="10">
        <f>COUNT(C12:C30)</f>
        <v>9</v>
      </c>
      <c r="G32" s="14" t="s">
        <v>15</v>
      </c>
      <c r="H32" s="26">
        <f>COUNT(H12:H30)</f>
        <v>8</v>
      </c>
      <c r="P32" s="36"/>
      <c r="Q32" s="37"/>
      <c r="R32" s="111"/>
    </row>
    <row r="33" spans="1:21">
      <c r="P33" s="36"/>
      <c r="Q33" s="37"/>
      <c r="R33" s="111"/>
    </row>
    <row r="34" spans="1:21">
      <c r="B34" s="186" t="s">
        <v>5</v>
      </c>
      <c r="C34" s="186"/>
      <c r="D34" s="186"/>
      <c r="E34" s="186"/>
      <c r="G34" s="186" t="s">
        <v>6</v>
      </c>
      <c r="H34" s="186"/>
      <c r="I34" s="186"/>
      <c r="J34" s="186"/>
      <c r="P34" s="36"/>
      <c r="Q34" s="37"/>
      <c r="R34" s="111"/>
    </row>
    <row r="35" spans="1:21">
      <c r="B35" s="143" t="s">
        <v>2</v>
      </c>
      <c r="C35" s="144"/>
      <c r="D35" s="11" t="s">
        <v>4</v>
      </c>
      <c r="E35" s="3">
        <f>C31/C32</f>
        <v>1.4444444444444444</v>
      </c>
      <c r="G35" s="143" t="s">
        <v>2</v>
      </c>
      <c r="H35" s="144"/>
      <c r="I35" s="11" t="s">
        <v>4</v>
      </c>
      <c r="J35" s="3">
        <f>I31/H32</f>
        <v>1.875</v>
      </c>
      <c r="P35" s="36"/>
      <c r="Q35" s="37"/>
      <c r="R35" s="111"/>
    </row>
    <row r="36" spans="1:21" ht="15.75" thickBot="1">
      <c r="B36" s="145" t="s">
        <v>3</v>
      </c>
      <c r="C36" s="146"/>
      <c r="D36" s="12" t="s">
        <v>4</v>
      </c>
      <c r="E36" s="2">
        <f>D31/C32</f>
        <v>0.77777777777777779</v>
      </c>
      <c r="G36" s="145" t="s">
        <v>3</v>
      </c>
      <c r="H36" s="146"/>
      <c r="I36" s="12" t="s">
        <v>4</v>
      </c>
      <c r="J36" s="2">
        <f>H31/H32</f>
        <v>0.75</v>
      </c>
      <c r="P36" s="36"/>
      <c r="Q36" s="37"/>
      <c r="R36" s="111"/>
    </row>
    <row r="37" spans="1:21" ht="15.75" thickBot="1">
      <c r="P37" s="38"/>
      <c r="Q37" s="39"/>
      <c r="R37" s="112"/>
    </row>
    <row r="38" spans="1:21" ht="15.75" thickBot="1">
      <c r="B38" s="60"/>
      <c r="C38" s="61" t="s">
        <v>0</v>
      </c>
      <c r="D38" s="62" t="s">
        <v>1</v>
      </c>
      <c r="O38" s="114" t="s">
        <v>24</v>
      </c>
      <c r="P38" s="13">
        <f>SUM(P11:P37)</f>
        <v>196</v>
      </c>
      <c r="Q38" s="113">
        <f>SUM(Q11:Q37)</f>
        <v>146</v>
      </c>
    </row>
    <row r="39" spans="1:21" ht="15.75" thickBot="1">
      <c r="B39" s="63" t="s">
        <v>27</v>
      </c>
      <c r="C39" s="64">
        <f>E35/P41</f>
        <v>1.1275510204081634</v>
      </c>
      <c r="D39" s="65">
        <f>J35/Q41</f>
        <v>1.9648972602739725</v>
      </c>
      <c r="F39" t="s">
        <v>92</v>
      </c>
      <c r="O39" s="14" t="s">
        <v>25</v>
      </c>
      <c r="P39" s="187">
        <f>SUM(R11:R37)</f>
        <v>153</v>
      </c>
      <c r="Q39" s="188"/>
    </row>
    <row r="40" spans="1:21" ht="15.75" thickBot="1">
      <c r="B40" s="18" t="s">
        <v>77</v>
      </c>
      <c r="C40" s="20">
        <f>E36/Q41</f>
        <v>0.81506849315068486</v>
      </c>
      <c r="D40" s="21">
        <f>J36/P41</f>
        <v>0.58545918367346939</v>
      </c>
      <c r="O40" s="14" t="s">
        <v>26</v>
      </c>
      <c r="P40" s="189">
        <f>COUNT(P11:P37)</f>
        <v>18</v>
      </c>
      <c r="Q40" s="190"/>
    </row>
    <row r="41" spans="1:21" ht="15.75" thickBot="1">
      <c r="B41" s="18" t="s">
        <v>78</v>
      </c>
      <c r="C41" s="20">
        <f>C39*D40*P41</f>
        <v>0.84566326530612246</v>
      </c>
      <c r="D41" s="21">
        <f>C40*D39*Q41</f>
        <v>1.5282534246575341</v>
      </c>
      <c r="O41" s="14" t="s">
        <v>35</v>
      </c>
      <c r="P41" s="19">
        <f>P38/(P39)</f>
        <v>1.2810457516339868</v>
      </c>
      <c r="Q41" s="113">
        <f>Q38/(P39)</f>
        <v>0.95424836601307195</v>
      </c>
    </row>
    <row r="43" spans="1:21">
      <c r="A43" s="184" t="s">
        <v>30</v>
      </c>
      <c r="B43" s="184"/>
      <c r="C43" s="184"/>
      <c r="D43" s="184"/>
      <c r="E43" s="184"/>
      <c r="F43" s="184"/>
      <c r="G43" s="184"/>
      <c r="H43" s="184"/>
      <c r="I43" s="184"/>
      <c r="J43" s="184"/>
      <c r="K43" s="184"/>
      <c r="L43" s="184"/>
      <c r="M43" s="184"/>
      <c r="N43" s="184"/>
      <c r="O43" s="184"/>
      <c r="P43" s="184"/>
      <c r="Q43" s="184"/>
      <c r="R43" s="184"/>
      <c r="S43" s="184"/>
      <c r="T43" s="184"/>
      <c r="U43" s="184"/>
    </row>
    <row r="44" spans="1:21" ht="15.75" thickBot="1">
      <c r="A44" s="185"/>
      <c r="B44" s="185"/>
      <c r="C44" s="185"/>
      <c r="D44" s="185"/>
      <c r="E44" s="185"/>
      <c r="F44" s="185"/>
      <c r="G44" s="185"/>
      <c r="H44" s="185"/>
      <c r="I44" s="185"/>
      <c r="J44" s="185"/>
      <c r="K44" s="185"/>
      <c r="L44" s="185"/>
      <c r="M44" s="185"/>
      <c r="N44" s="185"/>
      <c r="O44" s="185"/>
      <c r="P44" s="185"/>
      <c r="Q44" s="185"/>
      <c r="R44" s="185"/>
      <c r="S44" s="185"/>
      <c r="T44" s="185"/>
      <c r="U44" s="185"/>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2018-06-02T22:53:57Z</dcterms:modified>
</cp:coreProperties>
</file>