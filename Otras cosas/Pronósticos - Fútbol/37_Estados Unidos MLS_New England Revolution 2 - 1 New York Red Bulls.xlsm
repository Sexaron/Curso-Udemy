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<sst xmlns="http://schemas.openxmlformats.org/spreadsheetml/2006/main" count="151" uniqueCount="106">
  <si>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</si>
  <si>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</si>
  <si>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</si>
  <si>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</si>
  <si>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</si>
  <si>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</si>
  <si>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</si>
  <si>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</si>
  <si>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</si>
  <si>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</si>
  <si>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</si>
  <si>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</si>
  <si>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</si>
  <si>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</si>
  <si>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</si>
  <si>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</si>
  <si>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</si>
  <si>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</si>
  <si>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</si>
  <si>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</si>
  <si>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</si>
  <si>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</si>
  <si>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</si>
  <si>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</si>
  <si>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</si>
  <si>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</si>
  <si>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</si>
  <si>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</si>
  <si>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</si>
  <si>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</si>
  <si>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</si>
  <si>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</si>
  <si>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</si>
  <si>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</si>
  <si>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</si>
  <si>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</si>
  <si>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</si>
  <si>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</si>
  <si>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</si>
  <si>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</si>
  <si>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</si>
  <si>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</si>
  <si>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</si>
  <si>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</si>
  <si>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</si>
  <si>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</si>
  <si>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</si>
  <si>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</si>
  <si>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</si>
  <si>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</si>
  <si>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</si>
  <si>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</si>
  <si>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</si>
  <si>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</si>
  <si>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</si>
  <si>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</si>
  <si>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</si>
  <si>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</si>
  <si>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</si>
  <si>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</si>
  <si>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</si>
  <si>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</si>
  <si>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</si>
  <si>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</si>
  <si>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</si>
  <si>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</si>
  <si>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</si>
  <si>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</si>
  <si>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</si>
  <si>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</si>
  <si>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</si>
  <si>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</si>
  <si>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</si>
  <si>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</si>
  <si>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</si>
  <si>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</si>
  <si>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</si>
  <si>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</si>
  <si>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</si>
  <si>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</si>
  <si>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</si>
  <si>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</si>
  <si>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</si>
  <si>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</si>
  <si>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</si>
  <si>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</si>
  <si>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</si>
  <si>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</si>
  <si>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</si>
  <si>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</si>
  <si>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</si>
  <si>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</si>
  <si>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</si>
  <si>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</si>
  <si>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</si>
  <si>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</si>
  <si>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</si>
  <si>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</si>
  <si>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</si>
  <si>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</si>
  <si>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</si>
  <si>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1-1</t>
  </si>
  <si>
    <t>Estados Unidos MLS</t>
  </si>
  <si>
    <t>New England Revolution</t>
  </si>
  <si>
    <t>New York Red Bulls</t>
  </si>
  <si>
    <t>1-2</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</si>
</sst>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8" sqref="AB18"/>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38</v>
      </c>
    </row>
    <row r="3" spans="1:33" ht="15.75" thickBot="1">
      <c r="F3" s="126" t="str">
        <f>Cálculos!I4</f>
        <v>New England Revolution</v>
      </c>
      <c r="G3" s="124"/>
      <c r="H3" s="124"/>
      <c r="I3" s="128"/>
      <c r="J3" s="124" t="str">
        <f>Cálculos!M4</f>
        <v>New York Red Bulls</v>
      </c>
      <c r="K3" s="124"/>
      <c r="L3" s="125"/>
    </row>
    <row r="4" spans="1:33" ht="15.75" thickBot="1">
      <c r="G4" s="118" t="str">
        <f>Cálculos!J5</f>
        <v>Estados Unidos MLS</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0.64540159233066507</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1.625</v>
      </c>
      <c r="V9"/>
      <c r="W9" s="143" t="s">
        <v>2</v>
      </c>
      <c r="X9" s="144"/>
      <c r="Y9" s="11" t="s">
        <v>4</v>
      </c>
      <c r="Z9" s="86">
        <f>Cálculos!J35</f>
        <v>2.2000000000000002</v>
      </c>
      <c r="AA9"/>
      <c r="AB9" s="109" t="s">
        <v>90</v>
      </c>
      <c r="AC9" s="107">
        <f>SUM(D10:D12,E11,E10,F10)</f>
        <v>0.35459479589664444</v>
      </c>
    </row>
    <row r="10" spans="1:33" ht="15.75" customHeight="1" thickBot="1">
      <c r="B10" s="147" t="s">
        <v>80</v>
      </c>
      <c r="C10" s="94">
        <v>0</v>
      </c>
      <c r="D10" s="102">
        <f>Cálculos!L11*Cálculos!M11</f>
        <v>3.6002187999846148E-2</v>
      </c>
      <c r="E10" s="96">
        <f>Cálculos!M12*Cálculos!L11</f>
        <v>6.8918474171134045E-2</v>
      </c>
      <c r="F10" s="77">
        <f>Cálculos!M13*Cálculos!L11</f>
        <v>6.5964825278085448E-2</v>
      </c>
      <c r="G10" s="77">
        <f>Cálculos!M14*Cálculos!L11</f>
        <v>4.2091840891730709E-2</v>
      </c>
      <c r="H10" s="77">
        <f>Cálculos!M15*Cálculos!L11</f>
        <v>2.0143952426756838E-2</v>
      </c>
      <c r="I10" s="77">
        <f>Cálculos!M16*Cálculos!L11</f>
        <v>7.7122560719583315E-3</v>
      </c>
      <c r="J10" s="77">
        <f>Cálculos!M17*Cálculos!L11</f>
        <v>2.4605769372438484E-3</v>
      </c>
      <c r="K10" s="77">
        <f>Cálculos!M18*Cálculos!L11</f>
        <v>6.7289246855239927E-4</v>
      </c>
      <c r="L10" s="77">
        <f>Cálculos!M19*Cálculos!L11</f>
        <v>1.6101355497503839E-4</v>
      </c>
      <c r="M10" s="77">
        <f>Cálculos!M20*Cálculos!L11</f>
        <v>3.4247327566119275E-5</v>
      </c>
      <c r="N10" s="84">
        <f>Cálculos!M21*Cálculos!L11</f>
        <v>6.555916991228547E-6</v>
      </c>
      <c r="R10" s="145" t="s">
        <v>3</v>
      </c>
      <c r="S10" s="146"/>
      <c r="T10" s="12" t="s">
        <v>4</v>
      </c>
      <c r="U10" s="87">
        <f>Cálculos!E36</f>
        <v>1</v>
      </c>
      <c r="V10"/>
      <c r="W10" s="145" t="s">
        <v>3</v>
      </c>
      <c r="X10" s="146"/>
      <c r="Y10" s="12" t="s">
        <v>4</v>
      </c>
      <c r="Z10" s="87">
        <f>Cálculos!J36</f>
        <v>1.8</v>
      </c>
      <c r="AA10"/>
    </row>
    <row r="11" spans="1:33" ht="15.75" thickBot="1">
      <c r="B11" s="148"/>
      <c r="C11" s="66">
        <v>1</v>
      </c>
      <c r="D11" s="99">
        <f>Cálculos!L12*Cálculos!M11</f>
        <v>5.0759199951581645E-2</v>
      </c>
      <c r="E11" s="103">
        <f>Cálculos!L12*Cálculos!M12</f>
        <v>9.7167611335884849E-2</v>
      </c>
      <c r="F11" s="97">
        <f>Cálculos!L12*Cálculos!M13</f>
        <v>9.3003285135775507E-2</v>
      </c>
      <c r="G11" s="80">
        <f>Cálculos!L12*Cálculos!M14</f>
        <v>5.9344953372351981E-2</v>
      </c>
      <c r="H11" s="80">
        <f>Cálculos!L12*Cálculos!M15</f>
        <v>2.8400799113911301E-2</v>
      </c>
      <c r="I11" s="80">
        <f>Cálculos!L12*Cálculos!M16</f>
        <v>1.0873448803611754E-2</v>
      </c>
      <c r="J11" s="80">
        <f>Cálculos!L12*Cálculos!M17</f>
        <v>3.4691479516285122E-3</v>
      </c>
      <c r="K11" s="80">
        <f>Cálculos!L12*Cálculos!M18</f>
        <v>9.4870576636371543E-4</v>
      </c>
      <c r="L11" s="80">
        <f>Cálculos!L12*Cálculos!M19</f>
        <v>2.270117369513176E-4</v>
      </c>
      <c r="M11" s="80">
        <f>Cálculos!L12*Cálculos!M20</f>
        <v>4.828503611345486E-5</v>
      </c>
      <c r="N11" s="81">
        <f>Cálculos!L12*Cálculos!M21</f>
        <v>9.2431354845756436E-6</v>
      </c>
      <c r="S11"/>
      <c r="T11"/>
      <c r="U11"/>
      <c r="V11"/>
      <c r="W11"/>
      <c r="X11"/>
      <c r="Y11"/>
      <c r="Z11"/>
      <c r="AA11"/>
      <c r="AB11" s="155" t="s">
        <v>91</v>
      </c>
      <c r="AC11" s="156"/>
    </row>
    <row r="12" spans="1:33" ht="15.75" customHeight="1" thickBot="1">
      <c r="B12" s="148"/>
      <c r="C12" s="66">
        <v>2</v>
      </c>
      <c r="D12" s="76">
        <f>Cálculos!L13*Cálculos!M11</f>
        <v>3.5782497160112274E-2</v>
      </c>
      <c r="E12" s="100">
        <f>Cálculos!L13*Cálculos!M12</f>
        <v>6.8497923135072053E-2</v>
      </c>
      <c r="F12" s="103">
        <f>Cálculos!L13*Cálculos!M13</f>
        <v>6.5562297857854696E-2</v>
      </c>
      <c r="G12" s="97">
        <f>Cálculos!L13*Cálculos!M14</f>
        <v>4.1834990061678699E-2</v>
      </c>
      <c r="H12" s="80">
        <f>Cálculos!L13*Cálculos!M15</f>
        <v>2.0021030958089089E-2</v>
      </c>
      <c r="I12" s="80">
        <f>Cálculos!L13*Cálculos!M16</f>
        <v>7.6651947096683937E-3</v>
      </c>
      <c r="J12" s="80">
        <f>Cálculos!L13*Cálculos!M17</f>
        <v>2.4455621216561063E-3</v>
      </c>
      <c r="K12" s="80">
        <f>Cálculos!L13*Cálculos!M18</f>
        <v>6.6878637612636377E-4</v>
      </c>
      <c r="L12" s="80">
        <f>Cálculos!L13*Cálculos!M19</f>
        <v>1.600310257159513E-4</v>
      </c>
      <c r="M12" s="80">
        <f>Cálculos!L13*Cálculos!M20</f>
        <v>3.403834515228171E-5</v>
      </c>
      <c r="N12" s="81">
        <f>Cálculos!L13*Cálculos!M21</f>
        <v>6.5159117862939263E-6</v>
      </c>
      <c r="R12" s="141" t="s">
        <v>28</v>
      </c>
      <c r="S12" s="139" t="s">
        <v>7</v>
      </c>
      <c r="T12" s="139"/>
      <c r="U12" s="139"/>
      <c r="V12" s="139"/>
      <c r="W12" s="139"/>
      <c r="X12" s="139"/>
      <c r="Y12" s="140"/>
      <c r="Z12"/>
      <c r="AA12"/>
      <c r="AB12" s="115" t="s">
        <v>97</v>
      </c>
      <c r="AC12" s="116" t="s">
        <v>98</v>
      </c>
    </row>
    <row r="13" spans="1:33" ht="15.75" customHeight="1" thickBot="1">
      <c r="B13" s="148"/>
      <c r="C13" s="66">
        <v>3</v>
      </c>
      <c r="D13" s="76">
        <f>Cálculos!L14*Cálculos!M11</f>
        <v>1.6816486525067151E-2</v>
      </c>
      <c r="E13" s="78">
        <f>Cálculos!L14*Cálculos!M12</f>
        <v>3.2191559919414255E-2</v>
      </c>
      <c r="F13" s="100">
        <f>Cálculos!L14*Cálculos!M13</f>
        <v>3.0811921637153648E-2</v>
      </c>
      <c r="G13" s="103">
        <f>Cálculos!L14*Cálculos!M14</f>
        <v>1.9660940473231373E-2</v>
      </c>
      <c r="H13" s="97">
        <f>Cálculos!L14*Cálculos!M15</f>
        <v>9.4091643693321562E-3</v>
      </c>
      <c r="I13" s="80">
        <f>Cálculos!L14*Cálculos!M16</f>
        <v>3.6023657871157395E-3</v>
      </c>
      <c r="J13" s="80">
        <f>Cálculos!L14*Cálculos!M17</f>
        <v>1.1493262273178787E-3</v>
      </c>
      <c r="K13" s="80">
        <f>Cálculos!L14*Cálculos!M18</f>
        <v>3.1430553971550148E-4</v>
      </c>
      <c r="L13" s="80">
        <f>Cálculos!L14*Cálculos!M19</f>
        <v>7.5208825574780714E-5</v>
      </c>
      <c r="M13" s="80">
        <f>Cálculos!L14*Cálculos!M20</f>
        <v>1.5996797820667645E-5</v>
      </c>
      <c r="N13" s="81">
        <f>Cálculos!L14*Cálculos!M21</f>
        <v>3.0622441542420917E-6</v>
      </c>
      <c r="O13" s="32"/>
      <c r="R13" s="142"/>
      <c r="S13" s="104">
        <v>0</v>
      </c>
      <c r="T13" s="104">
        <v>1</v>
      </c>
      <c r="U13" s="104">
        <v>2</v>
      </c>
      <c r="V13" s="104">
        <v>3</v>
      </c>
      <c r="W13" s="104">
        <v>4</v>
      </c>
      <c r="X13" s="104">
        <v>5</v>
      </c>
      <c r="Y13" s="105">
        <v>6</v>
      </c>
      <c r="Z13"/>
      <c r="AA13" s="33"/>
      <c r="AB13" s="117">
        <f>SUM(E11:N20)</f>
        <v>0.64438235380030984</v>
      </c>
      <c r="AC13" s="107">
        <f>SUM(D10:D20,E10:N10)</f>
        <v>0.35561403442699935</v>
      </c>
    </row>
    <row r="14" spans="1:33" ht="15.75" customHeight="1" thickBot="1">
      <c r="B14" s="148"/>
      <c r="C14" s="66">
        <v>4</v>
      </c>
      <c r="D14" s="76">
        <f>Cálculos!L15*Cálculos!M11</f>
        <v>5.9273578178957471E-3</v>
      </c>
      <c r="E14" s="78">
        <f>Cálculos!L15*Cálculos!M12</f>
        <v>1.1346656394257571E-2</v>
      </c>
      <c r="F14" s="78">
        <f>Cálculos!L15*Cálculos!M13</f>
        <v>1.0860371120217961E-2</v>
      </c>
      <c r="G14" s="100">
        <f>Cálculos!L15*Cálculos!M14</f>
        <v>6.9299510957581273E-3</v>
      </c>
      <c r="H14" s="103">
        <f>Cálculos!L15*Cálculos!M15</f>
        <v>3.3164765958271034E-3</v>
      </c>
      <c r="I14" s="97">
        <f>Cálculos!L15*Cálculos!M16</f>
        <v>1.269736753830948E-3</v>
      </c>
      <c r="J14" s="80">
        <f>Cálculos!L15*Cálculos!M17</f>
        <v>4.0510648812701669E-4</v>
      </c>
      <c r="K14" s="80">
        <f>Cálculos!L15*Cálculos!M18</f>
        <v>1.1078422328371476E-4</v>
      </c>
      <c r="L14" s="80">
        <f>Cálculos!L15*Cálculos!M19</f>
        <v>2.6509082000031744E-5</v>
      </c>
      <c r="M14" s="80">
        <f>Cálculos!L15*Cálculos!M20</f>
        <v>5.6384396634988157E-6</v>
      </c>
      <c r="N14" s="81">
        <f>Cálculos!L15*Cálculos!M21</f>
        <v>1.0793584498697732E-6</v>
      </c>
      <c r="O14" s="33"/>
      <c r="R14" s="24" t="s">
        <v>8</v>
      </c>
      <c r="S14" s="46">
        <f>Cálculos!L11</f>
        <v>0.24416986253523087</v>
      </c>
      <c r="T14" s="47">
        <f>Cálculos!L12</f>
        <v>0.34425315690893432</v>
      </c>
      <c r="U14" s="47">
        <f>Cálculos!L13</f>
        <v>0.2426799008101741</v>
      </c>
      <c r="V14" s="47">
        <f>Cálculos!L14</f>
        <v>0.11405082388794692</v>
      </c>
      <c r="W14" s="47">
        <f>Cálculos!L15</f>
        <v>4.019983850978489E-2</v>
      </c>
      <c r="X14" s="47">
        <f>Cálculos!L16</f>
        <v>1.1335486837345459E-2</v>
      </c>
      <c r="Y14" s="48">
        <f>Cálculos!L17</f>
        <v>2.6636355311136406E-3</v>
      </c>
      <c r="Z14"/>
      <c r="AA14"/>
    </row>
    <row r="15" spans="1:33" ht="15.75" thickBot="1">
      <c r="B15" s="148"/>
      <c r="C15" s="66">
        <v>5</v>
      </c>
      <c r="D15" s="76">
        <f>Cálculos!L16*Cálculos!M11</f>
        <v>1.671386976060603E-3</v>
      </c>
      <c r="E15" s="78">
        <f>Cálculos!L16*Cálculos!M12</f>
        <v>3.199512211316011E-3</v>
      </c>
      <c r="F15" s="78">
        <f>Cálculos!L16*Cálculos!M13</f>
        <v>3.0623902594024677E-3</v>
      </c>
      <c r="G15" s="78">
        <f>Cálculos!L16*Cálculos!M14</f>
        <v>1.9540966417139552E-3</v>
      </c>
      <c r="H15" s="100">
        <f>Cálculos!L16*Cálculos!M15</f>
        <v>9.3517482139167862E-4</v>
      </c>
      <c r="I15" s="103">
        <f>Cálculos!L16*Cálculos!M16</f>
        <v>3.5803836018995688E-4</v>
      </c>
      <c r="J15" s="97">
        <f>Cálculos!L16*Cálculos!M17</f>
        <v>1.1423128634631958E-4</v>
      </c>
      <c r="K15" s="80">
        <f>Cálculos!L16*Cálculos!M18</f>
        <v>3.1238759939605758E-5</v>
      </c>
      <c r="L15" s="80">
        <f>Cálculos!L16*Cálculos!M19</f>
        <v>7.4749889855485205E-6</v>
      </c>
      <c r="M15" s="80">
        <f>Cálculos!L16*Cálculos!M20</f>
        <v>1.5899182921642885E-6</v>
      </c>
      <c r="N15" s="81">
        <f>Cálculos!L16*Cálculos!M21</f>
        <v>3.0435578735716375E-7</v>
      </c>
      <c r="O15" s="33"/>
      <c r="R15" s="25" t="s">
        <v>9</v>
      </c>
      <c r="S15" s="49">
        <f>Cálculos!M11</f>
        <v>0.14744730420877167</v>
      </c>
      <c r="T15" s="50">
        <f>Cálculos!M12</f>
        <v>0.28225626805679144</v>
      </c>
      <c r="U15" s="50">
        <f>Cálculos!M13</f>
        <v>0.27015957085435754</v>
      </c>
      <c r="V15" s="50">
        <f>Cálculos!M14</f>
        <v>0.17238753568801859</v>
      </c>
      <c r="W15" s="50">
        <f>Cálculos!M15</f>
        <v>8.2499749222123178E-2</v>
      </c>
      <c r="X15" s="50">
        <f>Cálculos!M16</f>
        <v>3.1585618273612871E-2</v>
      </c>
      <c r="Y15" s="51">
        <f>Cálculos!M17</f>
        <v>1.0077316306343153E-2</v>
      </c>
      <c r="Z15"/>
      <c r="AA15" s="33"/>
      <c r="AB15" s="161" t="s">
        <v>86</v>
      </c>
      <c r="AC15" s="162"/>
    </row>
    <row r="16" spans="1:33" ht="15.75" thickBot="1">
      <c r="B16" s="148"/>
      <c r="C16" s="66">
        <v>6</v>
      </c>
      <c r="D16" s="76">
        <f>Cálculos!L17*Cálculos!M11</f>
        <v>3.9274587845740605E-4</v>
      </c>
      <c r="E16" s="78">
        <f>Cálculos!L17*Cálculos!M12</f>
        <v>7.5182782447560579E-4</v>
      </c>
      <c r="F16" s="78">
        <f>Cálculos!L17*Cálculos!M13</f>
        <v>7.1960663199807987E-4</v>
      </c>
      <c r="G16" s="78">
        <f>Cálculos!L17*Cálculos!M14</f>
        <v>4.5917756517972709E-4</v>
      </c>
      <c r="H16" s="78">
        <f>Cálculos!L17*Cálculos!M15</f>
        <v>2.1974926333601224E-4</v>
      </c>
      <c r="I16" s="100">
        <f>Cálculos!L17*Cálculos!M16</f>
        <v>8.4132575105787537E-5</v>
      </c>
      <c r="J16" s="103">
        <f>Cálculos!L17*Cálculos!M17</f>
        <v>2.6842297771846495E-5</v>
      </c>
      <c r="K16" s="97">
        <f>Cálculos!L17*Cálculos!M18</f>
        <v>7.3405467376069998E-6</v>
      </c>
      <c r="L16" s="80">
        <f>Cálculos!L17*Cálculos!M19</f>
        <v>1.7564879693559606E-6</v>
      </c>
      <c r="M16" s="80">
        <f>Cálculos!L17*Cálculos!M20</f>
        <v>3.73602203005871E-7</v>
      </c>
      <c r="N16" s="81">
        <f>Cálculos!L17*Cálculos!M21</f>
        <v>7.1518136003981011E-8</v>
      </c>
      <c r="O16" s="33"/>
      <c r="S16"/>
      <c r="T16"/>
      <c r="U16"/>
      <c r="V16"/>
      <c r="W16"/>
      <c r="X16"/>
      <c r="Y16"/>
      <c r="Z16"/>
      <c r="AA16"/>
      <c r="AB16" s="159" t="s">
        <v>101</v>
      </c>
      <c r="AC16" s="160"/>
    </row>
    <row r="17" spans="1:33" ht="15.75" customHeight="1" thickBot="1">
      <c r="B17" s="148"/>
      <c r="C17" s="66">
        <v>7</v>
      </c>
      <c r="D17" s="76">
        <f>Cálculos!L18*Cálculos!M11</f>
        <v>7.9104186568026877E-5</v>
      </c>
      <c r="E17" s="78">
        <f>Cálculos!L18*Cálculos!M12</f>
        <v>1.5142801428736573E-4</v>
      </c>
      <c r="F17" s="78">
        <f>Cálculos!L18*Cálculos!M13</f>
        <v>1.4493824224647863E-4</v>
      </c>
      <c r="G17" s="78">
        <f>Cálculos!L18*Cálculos!M14</f>
        <v>9.2484402195372063E-5</v>
      </c>
      <c r="H17" s="78">
        <f>Cálculos!L18*Cálculos!M15</f>
        <v>4.4260392479213768E-5</v>
      </c>
      <c r="I17" s="78">
        <f>Cálculos!L18*Cálculos!M16</f>
        <v>1.6945407406327554E-5</v>
      </c>
      <c r="J17" s="100">
        <f>Cálculos!L18*Cálculos!M17</f>
        <v>5.4063918867806959E-6</v>
      </c>
      <c r="K17" s="103">
        <f>Cálculos!L18*Cálculos!M18</f>
        <v>1.4784826792420677E-6</v>
      </c>
      <c r="L17" s="97">
        <f>Cálculos!L18*Cálculos!M19</f>
        <v>3.5377978396149472E-7</v>
      </c>
      <c r="M17" s="80">
        <f>Cálculos!L18*Cálculos!M20</f>
        <v>7.5248398493397302E-8</v>
      </c>
      <c r="N17" s="81">
        <f>Cálculos!L18*Cálculos!M21</f>
        <v>1.440469342587891E-8</v>
      </c>
      <c r="R17" s="131"/>
      <c r="S17" s="132"/>
      <c r="T17" s="88" t="s">
        <v>88</v>
      </c>
      <c r="U17" s="89" t="s">
        <v>87</v>
      </c>
      <c r="V17"/>
      <c r="Y17"/>
      <c r="AB17" s="157" t="s">
        <v>105</v>
      </c>
      <c r="AC17" s="158"/>
    </row>
    <row r="18" spans="1:33" ht="15.75" thickBot="1">
      <c r="B18" s="148"/>
      <c r="C18" s="66">
        <v>8</v>
      </c>
      <c r="D18" s="76">
        <f>Cálculos!L19*Cálculos!M11</f>
        <v>1.3941045829738368E-5</v>
      </c>
      <c r="E18" s="78">
        <f>Cálculos!L19*Cálculos!M12</f>
        <v>2.6687144874070589E-5</v>
      </c>
      <c r="F18" s="78">
        <f>Cálculos!L19*Cálculos!M13</f>
        <v>2.554341009375328E-5</v>
      </c>
      <c r="G18" s="78">
        <f>Cálculos!L19*Cálculos!M14</f>
        <v>1.6299128345537805E-5</v>
      </c>
      <c r="H18" s="78">
        <f>Cálculos!L19*Cálculos!M15</f>
        <v>7.8002971367930908E-6</v>
      </c>
      <c r="I18" s="78">
        <f>Cálculos!L19*Cálculos!M16</f>
        <v>2.9863994752293547E-6</v>
      </c>
      <c r="J18" s="78">
        <f>Cálculos!L19*Cálculos!M17</f>
        <v>9.5280364209698452E-7</v>
      </c>
      <c r="K18" s="100">
        <f>Cálculos!L19*Cálculos!M18</f>
        <v>2.605626286550937E-7</v>
      </c>
      <c r="L18" s="103">
        <f>Cálculos!L19*Cálculos!M19</f>
        <v>6.2348914713897411E-8</v>
      </c>
      <c r="M18" s="97">
        <f>Cálculos!L19*Cálculos!M20</f>
        <v>1.3261515193114688E-8</v>
      </c>
      <c r="N18" s="81">
        <f>Cálculos!L19*Cálculos!M21</f>
        <v>2.5386329083962402E-9</v>
      </c>
      <c r="R18" s="129" t="s">
        <v>27</v>
      </c>
      <c r="S18" s="130"/>
      <c r="T18" s="90">
        <f>Cálculos!C39</f>
        <v>0.78327338129496404</v>
      </c>
      <c r="U18" s="91">
        <f>Cálculos!D39</f>
        <v>1.9142857142857144</v>
      </c>
      <c r="V18"/>
      <c r="Y18"/>
    </row>
    <row r="19" spans="1:33" ht="15.75" thickBot="1">
      <c r="B19" s="148"/>
      <c r="C19" s="66">
        <v>9</v>
      </c>
      <c r="D19" s="76">
        <f>Cálculos!L20*Cálculos!M11</f>
        <v>2.1839300211694459E-6</v>
      </c>
      <c r="E19" s="78">
        <f>Cálculos!L20*Cálculos!M12</f>
        <v>4.1806660405243677E-6</v>
      </c>
      <c r="F19" s="78">
        <f>Cálculos!L20*Cálculos!M13</f>
        <v>4.0014946387876093E-6</v>
      </c>
      <c r="G19" s="78">
        <f>Cálculos!L20*Cálculos!M14</f>
        <v>2.5533346742739978E-6</v>
      </c>
      <c r="H19" s="78">
        <f>Cálculos!L20*Cálculos!M15</f>
        <v>1.2219530226882703E-6</v>
      </c>
      <c r="I19" s="78">
        <f>Cálculos!L20*Cálculos!M16</f>
        <v>4.678334429720806E-7</v>
      </c>
      <c r="J19" s="78">
        <f>Cálculos!L20*Cálculos!M17</f>
        <v>1.4926114609109236E-7</v>
      </c>
      <c r="K19" s="78">
        <f>Cálculos!L20*Cálculos!M18</f>
        <v>4.0818354237155867E-8</v>
      </c>
      <c r="L19" s="100">
        <f>Cálculos!L20*Cálculos!M19</f>
        <v>9.7672490496051535E-9</v>
      </c>
      <c r="M19" s="103">
        <f>Cálculos!L20*Cálculos!M20</f>
        <v>2.0774783692810962E-9</v>
      </c>
      <c r="N19" s="98">
        <f>Cálculos!L20*Cálculos!M21</f>
        <v>3.9768871640523837E-10</v>
      </c>
      <c r="R19" s="129" t="s">
        <v>77</v>
      </c>
      <c r="S19" s="130"/>
      <c r="T19" s="90">
        <f>Cálculos!C40</f>
        <v>0.87012987012987009</v>
      </c>
      <c r="U19" s="91">
        <f>Cálculos!D40</f>
        <v>0.86762589928057554</v>
      </c>
      <c r="V19"/>
      <c r="Y19"/>
      <c r="Z19"/>
      <c r="AA19" s="169" t="s">
        <v>99</v>
      </c>
      <c r="AB19" s="167"/>
      <c r="AC19" s="167" t="s">
        <v>100</v>
      </c>
      <c r="AD19" s="168"/>
    </row>
    <row r="20" spans="1:33" ht="15.75" thickBot="1">
      <c r="B20" s="149"/>
      <c r="C20" s="67">
        <v>10</v>
      </c>
      <c r="D20" s="85">
        <f>Cálculos!L21*Cálculos!M11</f>
        <v>3.0791056539473535E-7</v>
      </c>
      <c r="E20" s="79">
        <f>Cálculos!L21*Cálculos!M12</f>
        <v>5.8942879661277898E-7</v>
      </c>
      <c r="F20" s="79">
        <f>Cálculos!L21*Cálculos!M13</f>
        <v>5.6416756247223135E-7</v>
      </c>
      <c r="G20" s="79">
        <f>Cálculos!L21*Cálculos!M14</f>
        <v>3.599926351013285E-7</v>
      </c>
      <c r="H20" s="79">
        <f>Cálculos!L21*Cálculos!M15</f>
        <v>1.7228218965563577E-7</v>
      </c>
      <c r="I20" s="79">
        <f>Cálculos!L21*Cálculos!M16</f>
        <v>6.5959466896729123E-8</v>
      </c>
      <c r="J20" s="79">
        <f>Cálculos!L21*Cálculos!M17</f>
        <v>2.1044210867051668E-8</v>
      </c>
      <c r="K20" s="79">
        <f>Cálculos!L21*Cálculos!M18</f>
        <v>5.7549474616018846E-9</v>
      </c>
      <c r="L20" s="79">
        <f>Cálculos!L21*Cálculos!M19</f>
        <v>1.3770767140261651E-9</v>
      </c>
      <c r="M20" s="101">
        <f>Cálculos!L21*Cálculos!M20</f>
        <v>2.9290203123731133E-10</v>
      </c>
      <c r="N20" s="103">
        <f>Cálculos!L21*Cálculos!M21</f>
        <v>5.6069817408285304E-11</v>
      </c>
      <c r="R20" s="153" t="s">
        <v>78</v>
      </c>
      <c r="S20" s="154"/>
      <c r="T20" s="92">
        <f>Cálculos!C41</f>
        <v>1.4098920863309352</v>
      </c>
      <c r="U20" s="93">
        <f>Cálculos!D41</f>
        <v>1.9142857142857141</v>
      </c>
      <c r="V20"/>
      <c r="Y20"/>
      <c r="Z20"/>
      <c r="AA20" s="163">
        <f>SUM(D10:D20,E11:E20,F12:F20,G13:G20,H14:H20,I15:I20,J16:J20,K17:K20,L18:L20,M19:M20,N20)</f>
        <v>0.50611559838875431</v>
      </c>
      <c r="AB20" s="164"/>
      <c r="AC20" s="165">
        <f>SUM(D10:N10,E11:N11,F12:N12,G13:N13,H14:N14,I15:N15,J16:N16,K17:N17,L18:N18,M19:N19,N20)</f>
        <v>0.71597672772430299</v>
      </c>
      <c r="AD20" s="166"/>
    </row>
    <row r="21" spans="1:33" ht="15.75" thickBot="1">
      <c r="AB21" s="170">
        <f>SUM(D10,E11,F12,G13,H14,I15,J16,K17,L18,M19,N20)</f>
        <v>0.22209593788574808</v>
      </c>
      <c r="AC21" s="171"/>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17" sqref="H17"/>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103</v>
      </c>
      <c r="J4" s="182"/>
      <c r="K4" s="182"/>
      <c r="L4" s="179"/>
      <c r="M4" s="182" t="s">
        <v>104</v>
      </c>
      <c r="N4" s="182"/>
      <c r="O4" s="183"/>
    </row>
    <row r="5" spans="1:26" ht="15.75" thickBot="1">
      <c r="J5" s="172" t="s">
        <v>102</v>
      </c>
      <c r="K5" s="173"/>
      <c r="L5" s="173"/>
      <c r="M5" s="173"/>
      <c r="N5" s="174"/>
    </row>
    <row r="6" spans="1:26">
      <c r="A6" s="184" t="s">
        <v>29</v>
      </c>
      <c r="B6" s="184"/>
      <c r="C6" s="184"/>
      <c r="D6" s="184"/>
      <c r="E6" s="184"/>
      <c r="F6" s="184"/>
      <c r="G6" s="184"/>
      <c r="H6" s="184"/>
      <c r="I6" s="184"/>
      <c r="J6" s="184"/>
      <c r="K6" s="184"/>
      <c r="L6" s="184"/>
      <c r="M6" s="184"/>
      <c r="N6" s="184"/>
      <c r="O6" s="184"/>
      <c r="P6" s="184"/>
      <c r="Q6" s="184"/>
      <c r="R6" s="184"/>
      <c r="S6" s="184"/>
      <c r="T6" s="184"/>
      <c r="U6" s="184"/>
    </row>
    <row r="7" spans="1:26" ht="15.75" thickBot="1">
      <c r="A7" s="185"/>
      <c r="B7" s="185"/>
      <c r="C7" s="185"/>
      <c r="D7" s="185"/>
      <c r="E7" s="185"/>
      <c r="F7" s="185"/>
      <c r="G7" s="185"/>
      <c r="H7" s="185"/>
      <c r="I7" s="185"/>
      <c r="J7" s="185"/>
      <c r="K7" s="185"/>
      <c r="L7" s="185"/>
      <c r="M7" s="185"/>
      <c r="N7" s="185"/>
      <c r="O7" s="185"/>
      <c r="P7" s="185"/>
      <c r="Q7" s="185"/>
      <c r="R7" s="185"/>
      <c r="S7" s="185"/>
      <c r="T7" s="185"/>
      <c r="U7" s="185"/>
    </row>
    <row r="8" spans="1:26" ht="15.75" thickTop="1"/>
    <row r="9" spans="1:26" ht="15.75" thickBot="1">
      <c r="P9" s="186" t="s">
        <v>23</v>
      </c>
      <c r="Q9" s="186"/>
    </row>
    <row r="10" spans="1:26" ht="15.75" thickBot="1">
      <c r="C10" s="191" t="s">
        <v>10</v>
      </c>
      <c r="D10" s="192"/>
      <c r="H10" s="193" t="s">
        <v>14</v>
      </c>
      <c r="I10" s="194"/>
      <c r="K10" s="15"/>
      <c r="L10" s="16" t="s">
        <v>0</v>
      </c>
      <c r="M10" s="17" t="s">
        <v>1</v>
      </c>
      <c r="P10" s="14" t="s">
        <v>95</v>
      </c>
      <c r="Q10" s="14" t="s">
        <v>96</v>
      </c>
      <c r="R10" s="14" t="s">
        <v>93</v>
      </c>
      <c r="T10" s="195" t="s">
        <v>94</v>
      </c>
      <c r="U10" s="195"/>
      <c r="V10" s="195"/>
      <c r="W10" s="195"/>
      <c r="X10" s="195"/>
      <c r="Y10" s="195"/>
      <c r="Z10" s="195"/>
    </row>
    <row r="11" spans="1:26" ht="15.75" thickBot="1">
      <c r="C11" s="22" t="s">
        <v>11</v>
      </c>
      <c r="D11" s="23" t="s">
        <v>12</v>
      </c>
      <c r="E11" s="7"/>
      <c r="H11" s="30" t="s">
        <v>12</v>
      </c>
      <c r="I11" s="31" t="s">
        <v>11</v>
      </c>
      <c r="K11" s="24" t="s">
        <v>16</v>
      </c>
      <c r="L11" s="52">
        <f>((C41^0)*(2.71828^(-C41)))/FACT(0)</f>
        <v>0.24416986253523087</v>
      </c>
      <c r="M11" s="53">
        <f>((D41^0)*(2.71828^(-D41)))/FACT(0)</f>
        <v>0.14744730420877167</v>
      </c>
      <c r="P11" s="34">
        <v>15</v>
      </c>
      <c r="Q11" s="35">
        <v>8</v>
      </c>
      <c r="R11" s="110">
        <v>6</v>
      </c>
      <c r="T11" s="195"/>
      <c r="U11" s="195"/>
      <c r="V11" s="195"/>
      <c r="W11" s="195"/>
      <c r="X11" s="195"/>
      <c r="Y11" s="195"/>
      <c r="Z11" s="195"/>
    </row>
    <row r="12" spans="1:26">
      <c r="B12">
        <v>1</v>
      </c>
      <c r="C12" s="40">
        <v>1</v>
      </c>
      <c r="D12" s="41">
        <v>1</v>
      </c>
      <c r="G12">
        <v>1</v>
      </c>
      <c r="H12" s="40">
        <v>1</v>
      </c>
      <c r="I12" s="41">
        <v>3</v>
      </c>
      <c r="K12" s="24" t="s">
        <v>17</v>
      </c>
      <c r="L12" s="52">
        <f>((C41^1)*(2.71828^(-C41)))/FACT(1)</f>
        <v>0.34425315690893432</v>
      </c>
      <c r="M12" s="53">
        <f>((D41^1)*(2.71828^(-D41)))/FACT(1)</f>
        <v>0.28225626805679144</v>
      </c>
      <c r="P12" s="36">
        <v>15</v>
      </c>
      <c r="Q12" s="37">
        <v>11</v>
      </c>
      <c r="R12" s="111">
        <v>5</v>
      </c>
      <c r="T12" s="195"/>
      <c r="U12" s="195"/>
      <c r="V12" s="195"/>
      <c r="W12" s="195"/>
      <c r="X12" s="195"/>
      <c r="Y12" s="195"/>
      <c r="Z12" s="195"/>
    </row>
    <row r="13" spans="1:26">
      <c r="B13">
        <v>2</v>
      </c>
      <c r="C13" s="42">
        <v>0</v>
      </c>
      <c r="D13" s="37">
        <v>1</v>
      </c>
      <c r="G13">
        <v>2</v>
      </c>
      <c r="H13" s="42">
        <v>1</v>
      </c>
      <c r="I13" s="37">
        <v>2</v>
      </c>
      <c r="K13" s="24" t="s">
        <v>18</v>
      </c>
      <c r="L13" s="52">
        <f>((C41^2)*(2.71828^(-C41)))/FACT(2)</f>
        <v>0.2426799008101741</v>
      </c>
      <c r="M13" s="53">
        <f>((D41^2)*(2.71828^(-D41)))/FACT(2)</f>
        <v>0.27015957085435754</v>
      </c>
      <c r="P13" s="36">
        <v>13</v>
      </c>
      <c r="Q13" s="37">
        <v>3</v>
      </c>
      <c r="R13" s="111">
        <v>7</v>
      </c>
      <c r="T13" s="195"/>
      <c r="U13" s="195"/>
      <c r="V13" s="195"/>
      <c r="W13" s="195"/>
      <c r="X13" s="195"/>
      <c r="Y13" s="195"/>
      <c r="Z13" s="195"/>
    </row>
    <row r="14" spans="1:26">
      <c r="B14">
        <v>3</v>
      </c>
      <c r="C14" s="42">
        <v>3</v>
      </c>
      <c r="D14" s="37">
        <v>2</v>
      </c>
      <c r="G14">
        <v>3</v>
      </c>
      <c r="H14" s="42">
        <v>2</v>
      </c>
      <c r="I14" s="37">
        <v>3</v>
      </c>
      <c r="K14" s="24" t="s">
        <v>19</v>
      </c>
      <c r="L14" s="52">
        <f>((C41^3)*(2.71828^(-C41)))/FACT(3)</f>
        <v>0.11405082388794692</v>
      </c>
      <c r="M14" s="53">
        <f>((D41^3)*(2.71828^(-D41)))/FACT(3)</f>
        <v>0.17238753568801859</v>
      </c>
      <c r="P14" s="36">
        <v>13</v>
      </c>
      <c r="Q14" s="37">
        <v>11</v>
      </c>
      <c r="R14" s="111">
        <v>8</v>
      </c>
    </row>
    <row r="15" spans="1:26">
      <c r="B15">
        <v>4</v>
      </c>
      <c r="C15" s="42">
        <v>1</v>
      </c>
      <c r="D15" s="37">
        <v>0</v>
      </c>
      <c r="G15">
        <v>4</v>
      </c>
      <c r="H15" s="42">
        <v>4</v>
      </c>
      <c r="I15" s="37">
        <v>3</v>
      </c>
      <c r="K15" s="24" t="s">
        <v>21</v>
      </c>
      <c r="L15" s="52">
        <f>((C41^4)*(2.71828^(-C41)))/FACT(4)</f>
        <v>4.019983850978489E-2</v>
      </c>
      <c r="M15" s="53">
        <f>((D41^4)*(2.71828^(-D41)))/FACT(4)</f>
        <v>8.2499749222123178E-2</v>
      </c>
      <c r="P15" s="36">
        <v>15</v>
      </c>
      <c r="Q15" s="37">
        <v>8</v>
      </c>
      <c r="R15" s="111">
        <v>6</v>
      </c>
    </row>
    <row r="16" spans="1:26">
      <c r="B16">
        <v>5</v>
      </c>
      <c r="C16" s="42">
        <v>0</v>
      </c>
      <c r="D16" s="37">
        <v>1</v>
      </c>
      <c r="G16">
        <v>5</v>
      </c>
      <c r="H16" s="42">
        <v>1</v>
      </c>
      <c r="I16" s="37">
        <v>0</v>
      </c>
      <c r="K16" s="24" t="s">
        <v>20</v>
      </c>
      <c r="L16" s="52">
        <f>((C41^5)*(2.71828^(-C41)))/FACT(5)</f>
        <v>1.1335486837345459E-2</v>
      </c>
      <c r="M16" s="53">
        <f>((D41^5)*(2.71828^(-D41)))/FACT(5)</f>
        <v>3.1585618273612871E-2</v>
      </c>
      <c r="P16" s="36">
        <v>19</v>
      </c>
      <c r="Q16" s="37">
        <v>5</v>
      </c>
      <c r="R16" s="111">
        <v>4</v>
      </c>
    </row>
    <row r="17" spans="2:18">
      <c r="B17">
        <v>6</v>
      </c>
      <c r="C17" s="42">
        <v>4</v>
      </c>
      <c r="D17" s="37">
        <v>0</v>
      </c>
      <c r="G17">
        <v>6</v>
      </c>
      <c r="H17" s="42"/>
      <c r="I17" s="37"/>
      <c r="K17" s="69" t="s">
        <v>22</v>
      </c>
      <c r="L17" s="70">
        <f>((C41^6)*(2.71828^(-C41)))/FACT(6)</f>
        <v>2.6636355311136406E-3</v>
      </c>
      <c r="M17" s="71">
        <f>((D41^6)*(2.71828^(-D41)))/FACT(6)</f>
        <v>1.0077316306343153E-2</v>
      </c>
      <c r="P17" s="36">
        <v>17</v>
      </c>
      <c r="Q17" s="37">
        <v>9</v>
      </c>
      <c r="R17" s="111">
        <v>5</v>
      </c>
    </row>
    <row r="18" spans="2:18">
      <c r="B18">
        <v>7</v>
      </c>
      <c r="C18" s="42">
        <v>2</v>
      </c>
      <c r="D18" s="37">
        <v>2</v>
      </c>
      <c r="G18">
        <v>7</v>
      </c>
      <c r="H18" s="42"/>
      <c r="I18" s="37"/>
      <c r="K18" s="72" t="s">
        <v>82</v>
      </c>
      <c r="L18" s="52">
        <f>((C41^7)*(2.71828^(-C41)))/FACT(7)</f>
        <v>5.3649123659814564E-4</v>
      </c>
      <c r="M18" s="53">
        <f>((D41^7)*(2.71828^(-D41)))/FACT(7)</f>
        <v>2.7558375205101681E-3</v>
      </c>
      <c r="P18" s="36">
        <v>11</v>
      </c>
      <c r="Q18" s="37">
        <v>11</v>
      </c>
      <c r="R18" s="111">
        <v>8</v>
      </c>
    </row>
    <row r="19" spans="2:18">
      <c r="B19">
        <v>8</v>
      </c>
      <c r="C19" s="42">
        <v>2</v>
      </c>
      <c r="D19" s="37">
        <v>1</v>
      </c>
      <c r="G19">
        <v>8</v>
      </c>
      <c r="H19" s="42"/>
      <c r="I19" s="37"/>
      <c r="K19" s="72" t="s">
        <v>83</v>
      </c>
      <c r="L19" s="52">
        <f>((C41^8)*(2.71828^(-C41)))/FACT(8)</f>
        <v>9.4549343608202864E-5</v>
      </c>
      <c r="M19" s="53">
        <f>((D41^8)*(2.71828^(-D41)))/FACT(8)</f>
        <v>6.5943254955064734E-4</v>
      </c>
      <c r="P19" s="36">
        <v>10</v>
      </c>
      <c r="Q19" s="37">
        <v>2</v>
      </c>
      <c r="R19" s="111">
        <v>6</v>
      </c>
    </row>
    <row r="20" spans="2:18">
      <c r="B20">
        <v>9</v>
      </c>
      <c r="C20" s="42"/>
      <c r="D20" s="37"/>
      <c r="G20">
        <v>9</v>
      </c>
      <c r="H20" s="42"/>
      <c r="I20" s="37"/>
      <c r="K20" s="72" t="s">
        <v>84</v>
      </c>
      <c r="L20" s="52">
        <f>((C41^9)*(2.71828^(-C41)))/FACT(9)</f>
        <v>1.4811596813443291E-5</v>
      </c>
      <c r="M20" s="53">
        <f>((D41^9)*(2.71828^(-D41)))/FACT(9)</f>
        <v>1.4026025657109007E-4</v>
      </c>
      <c r="P20" s="36">
        <v>8</v>
      </c>
      <c r="Q20" s="37">
        <v>6</v>
      </c>
      <c r="R20" s="111">
        <v>8</v>
      </c>
    </row>
    <row r="21" spans="2:18" ht="15.75" thickBot="1">
      <c r="B21">
        <v>10</v>
      </c>
      <c r="C21" s="42"/>
      <c r="D21" s="37"/>
      <c r="G21">
        <v>10</v>
      </c>
      <c r="H21" s="42"/>
      <c r="I21" s="37"/>
      <c r="K21" s="73" t="s">
        <v>85</v>
      </c>
      <c r="L21" s="50">
        <f>((C41^10)*(2.71828^(-C41)))/FACT(10)</f>
        <v>2.088275313319819E-6</v>
      </c>
      <c r="M21" s="51">
        <f>((D41^10)*(2.71828^(-D41)))/FACT(10)</f>
        <v>2.6849820543608669E-5</v>
      </c>
      <c r="P21" s="36">
        <v>3</v>
      </c>
      <c r="Q21" s="37">
        <v>3</v>
      </c>
      <c r="R21" s="111">
        <v>4</v>
      </c>
    </row>
    <row r="22" spans="2:18">
      <c r="B22">
        <v>11</v>
      </c>
      <c r="C22" s="42"/>
      <c r="D22" s="37"/>
      <c r="G22">
        <v>11</v>
      </c>
      <c r="H22" s="42"/>
      <c r="I22" s="37"/>
      <c r="P22" s="36"/>
      <c r="Q22" s="37"/>
      <c r="R22" s="111"/>
    </row>
    <row r="23" spans="2:18">
      <c r="B23">
        <v>12</v>
      </c>
      <c r="C23" s="42"/>
      <c r="D23" s="37"/>
      <c r="G23">
        <v>12</v>
      </c>
      <c r="H23" s="42"/>
      <c r="I23" s="37"/>
      <c r="P23" s="36"/>
      <c r="Q23" s="37"/>
      <c r="R23" s="111"/>
    </row>
    <row r="24" spans="2:18">
      <c r="B24">
        <v>13</v>
      </c>
      <c r="C24" s="42"/>
      <c r="D24" s="37"/>
      <c r="G24">
        <v>13</v>
      </c>
      <c r="H24" s="42"/>
      <c r="I24" s="37"/>
      <c r="P24" s="36"/>
      <c r="Q24" s="37"/>
      <c r="R24" s="111"/>
    </row>
    <row r="25" spans="2:18">
      <c r="B25">
        <v>14</v>
      </c>
      <c r="C25" s="42"/>
      <c r="D25" s="37"/>
      <c r="G25">
        <v>14</v>
      </c>
      <c r="H25" s="42"/>
      <c r="I25" s="37"/>
      <c r="P25" s="36"/>
      <c r="Q25" s="37"/>
      <c r="R25" s="111"/>
    </row>
    <row r="26" spans="2:18">
      <c r="B26">
        <v>15</v>
      </c>
      <c r="C26" s="42"/>
      <c r="D26" s="37"/>
      <c r="G26">
        <v>15</v>
      </c>
      <c r="H26" s="42"/>
      <c r="I26" s="37"/>
      <c r="P26" s="36"/>
      <c r="Q26" s="37"/>
      <c r="R26" s="111"/>
    </row>
    <row r="27" spans="2:18">
      <c r="B27">
        <v>16</v>
      </c>
      <c r="C27" s="43"/>
      <c r="D27" s="39"/>
      <c r="G27">
        <v>16</v>
      </c>
      <c r="H27" s="43"/>
      <c r="I27" s="39"/>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13</v>
      </c>
      <c r="D31" s="9">
        <f>SUM(D12:D30)</f>
        <v>8</v>
      </c>
      <c r="G31" s="27" t="s">
        <v>13</v>
      </c>
      <c r="H31" s="28">
        <f>SUM(H12:H30)</f>
        <v>9</v>
      </c>
      <c r="I31" s="29">
        <f>SUM(I12:I30)</f>
        <v>11</v>
      </c>
      <c r="P31" s="36"/>
      <c r="Q31" s="37"/>
      <c r="R31" s="111"/>
    </row>
    <row r="32" spans="2:18" ht="15.75" thickBot="1">
      <c r="B32" s="14" t="s">
        <v>15</v>
      </c>
      <c r="C32" s="10">
        <f>COUNT(C12:C30)</f>
        <v>8</v>
      </c>
      <c r="G32" s="14" t="s">
        <v>15</v>
      </c>
      <c r="H32" s="26">
        <f>COUNT(H12:H30)</f>
        <v>5</v>
      </c>
      <c r="P32" s="36"/>
      <c r="Q32" s="37"/>
      <c r="R32" s="111"/>
    </row>
    <row r="33" spans="1:21">
      <c r="P33" s="36"/>
      <c r="Q33" s="37"/>
      <c r="R33" s="111"/>
    </row>
    <row r="34" spans="1:21">
      <c r="B34" s="186" t="s">
        <v>5</v>
      </c>
      <c r="C34" s="186"/>
      <c r="D34" s="186"/>
      <c r="E34" s="186"/>
      <c r="G34" s="186" t="s">
        <v>6</v>
      </c>
      <c r="H34" s="186"/>
      <c r="I34" s="186"/>
      <c r="J34" s="186"/>
      <c r="P34" s="36"/>
      <c r="Q34" s="37"/>
      <c r="R34" s="111"/>
    </row>
    <row r="35" spans="1:21">
      <c r="B35" s="143" t="s">
        <v>2</v>
      </c>
      <c r="C35" s="144"/>
      <c r="D35" s="11" t="s">
        <v>4</v>
      </c>
      <c r="E35" s="3">
        <f>C31/C32</f>
        <v>1.625</v>
      </c>
      <c r="G35" s="143" t="s">
        <v>2</v>
      </c>
      <c r="H35" s="144"/>
      <c r="I35" s="11" t="s">
        <v>4</v>
      </c>
      <c r="J35" s="3">
        <f>I31/H32</f>
        <v>2.2000000000000002</v>
      </c>
      <c r="P35" s="36"/>
      <c r="Q35" s="37"/>
      <c r="R35" s="111"/>
    </row>
    <row r="36" spans="1:21" ht="15.75" thickBot="1">
      <c r="B36" s="145" t="s">
        <v>3</v>
      </c>
      <c r="C36" s="146"/>
      <c r="D36" s="12" t="s">
        <v>4</v>
      </c>
      <c r="E36" s="2">
        <f>D31/C32</f>
        <v>1</v>
      </c>
      <c r="G36" s="145" t="s">
        <v>3</v>
      </c>
      <c r="H36" s="146"/>
      <c r="I36" s="12" t="s">
        <v>4</v>
      </c>
      <c r="J36" s="2">
        <f>H31/H32</f>
        <v>1.8</v>
      </c>
      <c r="P36" s="36"/>
      <c r="Q36" s="37"/>
      <c r="R36" s="111"/>
    </row>
    <row r="37" spans="1:21" ht="15.75" thickBot="1">
      <c r="P37" s="38"/>
      <c r="Q37" s="39"/>
      <c r="R37" s="112"/>
    </row>
    <row r="38" spans="1:21" ht="15.75" thickBot="1">
      <c r="B38" s="60"/>
      <c r="C38" s="61" t="s">
        <v>0</v>
      </c>
      <c r="D38" s="62" t="s">
        <v>1</v>
      </c>
      <c r="O38" s="114" t="s">
        <v>24</v>
      </c>
      <c r="P38" s="13">
        <f>SUM(P11:P37)</f>
        <v>139</v>
      </c>
      <c r="Q38" s="113">
        <f>SUM(Q11:Q37)</f>
        <v>77</v>
      </c>
    </row>
    <row r="39" spans="1:21" ht="15.75" thickBot="1">
      <c r="B39" s="63" t="s">
        <v>27</v>
      </c>
      <c r="C39" s="64">
        <f>E35/P41</f>
        <v>0.78327338129496404</v>
      </c>
      <c r="D39" s="65">
        <f>J35/Q41</f>
        <v>1.9142857142857144</v>
      </c>
      <c r="F39" t="s">
        <v>92</v>
      </c>
      <c r="O39" s="14" t="s">
        <v>25</v>
      </c>
      <c r="P39" s="187">
        <f>SUM(R11:R37)</f>
        <v>67</v>
      </c>
      <c r="Q39" s="188"/>
    </row>
    <row r="40" spans="1:21" ht="15.75" thickBot="1">
      <c r="B40" s="18" t="s">
        <v>77</v>
      </c>
      <c r="C40" s="20">
        <f>E36/Q41</f>
        <v>0.87012987012987009</v>
      </c>
      <c r="D40" s="21">
        <f>J36/P41</f>
        <v>0.86762589928057554</v>
      </c>
      <c r="O40" s="14" t="s">
        <v>26</v>
      </c>
      <c r="P40" s="189">
        <f>COUNT(P11:P37)</f>
        <v>11</v>
      </c>
      <c r="Q40" s="190"/>
    </row>
    <row r="41" spans="1:21" ht="15.75" thickBot="1">
      <c r="B41" s="18" t="s">
        <v>78</v>
      </c>
      <c r="C41" s="20">
        <f>C39*D40*P41</f>
        <v>1.4098920863309352</v>
      </c>
      <c r="D41" s="21">
        <f>C40*D39*Q41</f>
        <v>1.9142857142857141</v>
      </c>
      <c r="O41" s="14" t="s">
        <v>35</v>
      </c>
      <c r="P41" s="19">
        <f>P38/(P39)</f>
        <v>2.0746268656716418</v>
      </c>
      <c r="Q41" s="113">
        <f>Q38/(P39)</f>
        <v>1.1492537313432836</v>
      </c>
    </row>
    <row r="43" spans="1:21">
      <c r="A43" s="184" t="s">
        <v>30</v>
      </c>
      <c r="B43" s="184"/>
      <c r="C43" s="184"/>
      <c r="D43" s="184"/>
      <c r="E43" s="184"/>
      <c r="F43" s="184"/>
      <c r="G43" s="184"/>
      <c r="H43" s="184"/>
      <c r="I43" s="184"/>
      <c r="J43" s="184"/>
      <c r="K43" s="184"/>
      <c r="L43" s="184"/>
      <c r="M43" s="184"/>
      <c r="N43" s="184"/>
      <c r="O43" s="184"/>
      <c r="P43" s="184"/>
      <c r="Q43" s="184"/>
      <c r="R43" s="184"/>
      <c r="S43" s="184"/>
      <c r="T43" s="184"/>
      <c r="U43" s="184"/>
    </row>
    <row r="44" spans="1:21" ht="15.75" thickBot="1">
      <c r="A44" s="185"/>
      <c r="B44" s="185"/>
      <c r="C44" s="185"/>
      <c r="D44" s="185"/>
      <c r="E44" s="185"/>
      <c r="F44" s="185"/>
      <c r="G44" s="185"/>
      <c r="H44" s="185"/>
      <c r="I44" s="185"/>
      <c r="J44" s="185"/>
      <c r="K44" s="185"/>
      <c r="L44" s="185"/>
      <c r="M44" s="185"/>
      <c r="N44" s="185"/>
      <c r="O44" s="185"/>
      <c r="P44" s="185"/>
      <c r="Q44" s="185"/>
      <c r="R44" s="185"/>
      <c r="S44" s="185"/>
      <c r="T44" s="185"/>
      <c r="U44" s="185"/>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2018-06-02T23:20:43Z</dcterms:modified>
</cp:coreProperties>
</file>