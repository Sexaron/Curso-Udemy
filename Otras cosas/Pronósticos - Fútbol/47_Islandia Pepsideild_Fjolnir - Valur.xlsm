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E36" l="1"/>
  <c r="C40" s="1"/>
  <c r="E35"/>
  <c r="C39" s="1"/>
  <c r="J35"/>
  <c r="D39" s="1"/>
  <c r="J36"/>
  <c r="D40" s="1"/>
  <c r="D41" l="1"/>
  <c r="C41"/>
  <c r="U19" i="1"/>
  <c r="U18"/>
  <c r="U9"/>
  <c r="U10"/>
  <c r="Z10"/>
  <c r="Z9"/>
  <c r="M12" i="2" l="1"/>
  <c r="M11"/>
  <c r="M19"/>
  <c r="T19" i="1"/>
  <c r="T18"/>
  <c r="U20" l="1"/>
  <c r="M16" i="2"/>
  <c r="X15" i="1" s="1"/>
  <c r="M20" i="2"/>
  <c r="M17"/>
  <c r="Y15" i="1" s="1"/>
  <c r="M13" i="2"/>
  <c r="U15" i="1" s="1"/>
  <c r="M14" i="2"/>
  <c r="V15" i="1" s="1"/>
  <c r="M18" i="2"/>
  <c r="S15" i="1"/>
  <c r="T15"/>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AE9" s="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F9" l="1"/>
  <c r="AG9"/>
  <c r="AB21"/>
  <c r="AC20"/>
  <c r="AA20"/>
  <c r="AB13"/>
  <c r="AC13"/>
  <c r="AC9"/>
  <c r="AC8"/>
</calcChain>
</file>

<file path=xl/sharedStrings.xml><?xml version="1.0" encoding="utf-8"?>
<sst xmlns="http://schemas.openxmlformats.org/spreadsheetml/2006/main" count="163" uniqueCount="118">
  <si>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</si>
  <si>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</si>
  <si>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</si>
  <si>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</si>
  <si>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</si>
  <si>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</si>
  <si>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</si>
  <si>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</si>
  <si>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</si>
  <si>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</si>
  <si>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</si>
  <si>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</si>
  <si>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</si>
  <si>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</si>
  <si>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</si>
  <si>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</si>
  <si>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</si>
  <si>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</si>
  <si>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</si>
  <si>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</si>
  <si>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</si>
  <si>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</si>
  <si>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</si>
  <si>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</si>
  <si>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</si>
  <si>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</si>
  <si>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</si>
  <si>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</si>
  <si>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</si>
  <si>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</si>
  <si>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</si>
  <si>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</si>
  <si>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</si>
  <si>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</si>
  <si>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</si>
  <si>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</si>
  <si>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</si>
  <si>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</si>
  <si>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</si>
  <si>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</si>
  <si>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</si>
  <si>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</si>
  <si>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</si>
  <si>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</si>
  <si>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</si>
  <si>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</si>
  <si>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</si>
  <si>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</si>
  <si>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</si>
  <si>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</si>
  <si>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</si>
  <si>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</si>
  <si>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</si>
  <si>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</si>
  <si>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</si>
  <si>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</si>
  <si>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</si>
  <si>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</si>
  <si>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</si>
  <si>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</si>
  <si>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</si>
  <si>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</si>
  <si>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</si>
  <si>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</si>
  <si>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</si>
  <si>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</si>
  <si>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</si>
  <si>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</si>
  <si>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</si>
  <si>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</si>
  <si>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</si>
  <si>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</si>
  <si>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</si>
  <si>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</si>
  <si>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</si>
  <si>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</si>
  <si>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</si>
  <si>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</si>
  <si>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</si>
  <si>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</si>
  <si>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</si>
  <si>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</si>
  <si>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</si>
  <si>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</si>
  <si>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</si>
  <si>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</si>
  <si>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</si>
  <si>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</si>
  <si>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</si>
  <si>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</si>
  <si>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</si>
  <si>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</si>
  <si>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</si>
  <si>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</si>
  <si>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</si>
  <si>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</si>
  <si>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</si>
  <si>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</si>
  <si>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</si>
  <si>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</si>
  <si>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</si>
  <si>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</si>
  <si>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</si>
  <si>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</si>
  <si>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</si>
  <si>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</si>
  <si>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</si>
  <si>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</si>
  <si>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</si>
  <si>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</si>
  <si>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2-0</t>
  </si>
  <si>
    <t>Vic LCL</t>
  </si>
  <si>
    <t>Empate</t>
  </si>
  <si>
    <t>Vic VST</t>
  </si>
  <si>
    <t>Fjolnir</t>
  </si>
  <si>
    <t>Valur</t>
  </si>
  <si>
    <t>Islandia Pepsideild</t>
  </si>
  <si>
    <t>1-0</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</si>
</sst>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11">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xf numFmtId="0" fontId="0" fillId="17" borderId="2" xfId="0" applyFill="1" applyBorder="1" applyAlignment="1">
      <alignment horizontal="center" vertical="center"/>
    </xf>
    <xf numFmtId="0" fontId="0" fillId="17" borderId="3" xfId="0" applyFill="1" applyBorder="1" applyAlignment="1">
      <alignment horizontal="center" vertical="center"/>
    </xf>
    <xf numFmtId="10" fontId="0" fillId="17" borderId="5"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8" sqref="AB18"/>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35" t="s">
        <v>32</v>
      </c>
      <c r="G2" s="133"/>
      <c r="H2" s="133"/>
      <c r="I2" s="139" t="s">
        <v>31</v>
      </c>
      <c r="J2" s="133" t="s">
        <v>33</v>
      </c>
      <c r="K2" s="133"/>
      <c r="L2" s="134"/>
      <c r="N2" s="145" t="s">
        <v>36</v>
      </c>
      <c r="O2" s="146"/>
      <c r="P2" s="146"/>
      <c r="Q2" s="146"/>
      <c r="R2" s="146"/>
      <c r="S2" s="54">
        <v>48</v>
      </c>
    </row>
    <row r="3" spans="1:33" ht="15.75" thickBot="1">
      <c r="F3" s="138" t="str">
        <f>Cálculos!I4</f>
        <v>Fjolnir</v>
      </c>
      <c r="G3" s="136"/>
      <c r="H3" s="136"/>
      <c r="I3" s="140"/>
      <c r="J3" s="136" t="str">
        <f>Cálculos!M4</f>
        <v>Valur</v>
      </c>
      <c r="K3" s="136"/>
      <c r="L3" s="137"/>
    </row>
    <row r="4" spans="1:33" ht="15.75" thickBot="1">
      <c r="G4" s="130" t="str">
        <f>Cálculos!J5</f>
        <v>Islandia Pepsideild</v>
      </c>
      <c r="H4" s="131"/>
      <c r="I4" s="131"/>
      <c r="J4" s="131"/>
      <c r="K4" s="132"/>
    </row>
    <row r="6" spans="1:33">
      <c r="A6" s="150"/>
      <c r="B6" s="150"/>
      <c r="C6" s="150"/>
      <c r="D6" s="150"/>
      <c r="E6" s="150"/>
      <c r="F6" s="150"/>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row>
    <row r="7" spans="1:33" ht="15.75" thickBot="1"/>
    <row r="8" spans="1:33" ht="15.75" thickBot="1">
      <c r="D8" s="162" t="s">
        <v>81</v>
      </c>
      <c r="E8" s="163"/>
      <c r="F8" s="163"/>
      <c r="G8" s="163"/>
      <c r="H8" s="163"/>
      <c r="I8" s="163"/>
      <c r="J8" s="163"/>
      <c r="K8" s="163"/>
      <c r="L8" s="163"/>
      <c r="M8" s="163"/>
      <c r="N8" s="164"/>
      <c r="R8" s="147" t="s">
        <v>5</v>
      </c>
      <c r="S8" s="148"/>
      <c r="T8" s="148"/>
      <c r="U8" s="149"/>
      <c r="V8"/>
      <c r="W8" s="147" t="s">
        <v>6</v>
      </c>
      <c r="X8" s="148"/>
      <c r="Y8" s="148"/>
      <c r="Z8" s="149"/>
      <c r="AA8"/>
      <c r="AB8" s="106" t="s">
        <v>89</v>
      </c>
      <c r="AC8" s="108">
        <f>SUM(E12:N20,F11:N11,G10:N10,D13:D20)</f>
        <v>0.39688609409222853</v>
      </c>
      <c r="AE8" s="106" t="s">
        <v>111</v>
      </c>
      <c r="AF8" s="127" t="s">
        <v>112</v>
      </c>
      <c r="AG8" s="128" t="s">
        <v>113</v>
      </c>
    </row>
    <row r="9" spans="1:33" ht="15.75" customHeight="1" thickBot="1">
      <c r="C9" s="68" t="s">
        <v>79</v>
      </c>
      <c r="D9" s="95">
        <v>0</v>
      </c>
      <c r="E9" s="82">
        <v>1</v>
      </c>
      <c r="F9" s="82">
        <v>2</v>
      </c>
      <c r="G9" s="82">
        <v>3</v>
      </c>
      <c r="H9" s="82">
        <v>4</v>
      </c>
      <c r="I9" s="82">
        <v>5</v>
      </c>
      <c r="J9" s="82">
        <v>6</v>
      </c>
      <c r="K9" s="82">
        <v>7</v>
      </c>
      <c r="L9" s="82">
        <v>8</v>
      </c>
      <c r="M9" s="82">
        <v>9</v>
      </c>
      <c r="N9" s="83">
        <v>10</v>
      </c>
      <c r="R9" s="155" t="s">
        <v>2</v>
      </c>
      <c r="S9" s="156"/>
      <c r="T9" s="11" t="s">
        <v>4</v>
      </c>
      <c r="U9" s="86">
        <f>Cálculos!E35</f>
        <v>2.8333333333333335</v>
      </c>
      <c r="V9"/>
      <c r="W9" s="155" t="s">
        <v>2</v>
      </c>
      <c r="X9" s="156"/>
      <c r="Y9" s="11" t="s">
        <v>4</v>
      </c>
      <c r="Z9" s="86">
        <f>Cálculos!J35</f>
        <v>0.75</v>
      </c>
      <c r="AA9"/>
      <c r="AB9" s="109" t="s">
        <v>90</v>
      </c>
      <c r="AC9" s="107">
        <f>SUM(D10:D12,E11,E10,F10)</f>
        <v>0.60309965233008278</v>
      </c>
      <c r="AE9" s="117">
        <f>SUM(D11:D20,E12:E20,F13:F20,G14:G20,H15:H20,I16:I20,J17:J20,K18:K20,L19:L20,M20)</f>
        <v>0.8507952404099326</v>
      </c>
      <c r="AF9" s="129">
        <f>SUM(D10,E11,F12,G13,H14,I15,J16,K17,L18,M19,N20)</f>
        <v>0.13318524735817405</v>
      </c>
      <c r="AG9" s="107">
        <f>SUM(E10:N10,F11:N11,G12:N12,H13:N13,I14:N14,J15:N15,K16:N16,L17:N17,M18:N18,N19)</f>
        <v>1.6005258654204498E-2</v>
      </c>
    </row>
    <row r="10" spans="1:33" ht="15.75" customHeight="1" thickBot="1">
      <c r="B10" s="159" t="s">
        <v>80</v>
      </c>
      <c r="C10" s="94">
        <v>0</v>
      </c>
      <c r="D10" s="102">
        <f>Cálculos!L11*Cálculos!M11</f>
        <v>0.10295937347186482</v>
      </c>
      <c r="E10" s="96">
        <f>Cálculos!M12*Cálculos!L11</f>
        <v>1.3157308284693406E-2</v>
      </c>
      <c r="F10" s="77">
        <f>Cálculos!M13*Cálculos!L11</f>
        <v>8.4069451600619904E-4</v>
      </c>
      <c r="G10" s="77">
        <f>Cálculos!M14*Cálculos!L11</f>
        <v>3.5811137757060181E-5</v>
      </c>
      <c r="H10" s="77">
        <f>Cálculos!M15*Cálculos!L11</f>
        <v>1.1440876231245258E-6</v>
      </c>
      <c r="I10" s="77">
        <f>Cálculos!M16*Cálculos!L11</f>
        <v>2.9240880270634122E-8</v>
      </c>
      <c r="J10" s="77">
        <f>Cálculos!M17*Cálculos!L11</f>
        <v>6.2278816595828747E-10</v>
      </c>
      <c r="K10" s="77">
        <f>Cálculos!M18*Cálculos!L11</f>
        <v>1.1369555110160837E-11</v>
      </c>
      <c r="L10" s="77">
        <f>Cálculos!M19*Cálculos!L11</f>
        <v>1.816162246814223E-13</v>
      </c>
      <c r="M10" s="77">
        <f>Cálculos!M20*Cálculos!L11</f>
        <v>2.5787740640444669E-15</v>
      </c>
      <c r="N10" s="84">
        <f>Cálculos!M21*Cálculos!L11</f>
        <v>3.2954479240762435E-17</v>
      </c>
      <c r="R10" s="157" t="s">
        <v>3</v>
      </c>
      <c r="S10" s="158"/>
      <c r="T10" s="12" t="s">
        <v>4</v>
      </c>
      <c r="U10" s="87">
        <f>Cálculos!E36</f>
        <v>0.45000000000000007</v>
      </c>
      <c r="V10"/>
      <c r="W10" s="157" t="s">
        <v>3</v>
      </c>
      <c r="X10" s="158"/>
      <c r="Y10" s="12" t="s">
        <v>4</v>
      </c>
      <c r="Z10" s="87">
        <f>Cálculos!J36</f>
        <v>2</v>
      </c>
      <c r="AA10"/>
    </row>
    <row r="11" spans="1:33" ht="15.75" thickBot="1">
      <c r="B11" s="160"/>
      <c r="C11" s="66">
        <v>1</v>
      </c>
      <c r="D11" s="99">
        <f>Cálculos!L12*Cálculos!M11</f>
        <v>0.2209128304590498</v>
      </c>
      <c r="E11" s="103">
        <f>Cálculos!L12*Cálculos!M12</f>
        <v>2.8230729426381006E-2</v>
      </c>
      <c r="F11" s="97">
        <f>Cálculos!L12*Cálculos!M13</f>
        <v>1.803820272207476E-3</v>
      </c>
      <c r="G11" s="80">
        <f>Cálculos!L12*Cálculos!M14</f>
        <v>7.683748975058546E-5</v>
      </c>
      <c r="H11" s="80">
        <f>Cálculos!L12*Cálculos!M15</f>
        <v>2.4547899486458276E-6</v>
      </c>
      <c r="I11" s="80">
        <f>Cálculos!L12*Cálculos!M16</f>
        <v>6.2740141163205263E-8</v>
      </c>
      <c r="J11" s="80">
        <f>Cálculos!L12*Cálculos!M17</f>
        <v>1.336273637638656E-9</v>
      </c>
      <c r="K11" s="80">
        <f>Cálculos!L12*Cálculos!M18</f>
        <v>2.4394870673257722E-11</v>
      </c>
      <c r="L11" s="80">
        <f>Cálculos!L12*Cálculos!M19</f>
        <v>3.8968141412227513E-13</v>
      </c>
      <c r="M11" s="80">
        <f>Cálculos!L12*Cálculos!M20</f>
        <v>5.5330977490662848E-15</v>
      </c>
      <c r="N11" s="81">
        <f>Cálculos!L12*Cálculos!M21</f>
        <v>7.0708154487461163E-17</v>
      </c>
      <c r="S11"/>
      <c r="T11"/>
      <c r="U11"/>
      <c r="V11"/>
      <c r="W11"/>
      <c r="X11"/>
      <c r="Y11"/>
      <c r="Z11"/>
      <c r="AA11"/>
      <c r="AB11" s="167" t="s">
        <v>91</v>
      </c>
      <c r="AC11" s="168"/>
    </row>
    <row r="12" spans="1:33" ht="15.75" customHeight="1" thickBot="1">
      <c r="B12" s="160"/>
      <c r="C12" s="66">
        <v>2</v>
      </c>
      <c r="D12" s="76">
        <f>Cálculos!L13*Cálculos!M11</f>
        <v>0.23699871617208748</v>
      </c>
      <c r="E12" s="100">
        <f>Cálculos!L13*Cálculos!M12</f>
        <v>3.0286365064224292E-2</v>
      </c>
      <c r="F12" s="103">
        <f>Cálculos!L13*Cálculos!M13</f>
        <v>1.9351664085332635E-3</v>
      </c>
      <c r="G12" s="97">
        <f>Cálculos!L13*Cálculos!M14</f>
        <v>8.2432452596501888E-5</v>
      </c>
      <c r="H12" s="80">
        <f>Cálculos!L13*Cálculos!M15</f>
        <v>2.6335367895666411E-6</v>
      </c>
      <c r="I12" s="80">
        <f>Cálculos!L13*Cálculos!M16</f>
        <v>6.7308598044021197E-8</v>
      </c>
      <c r="J12" s="80">
        <f>Cálculos!L13*Cálculos!M17</f>
        <v>1.4335751161074906E-9</v>
      </c>
      <c r="K12" s="80">
        <f>Cálculos!L13*Cálculos!M18</f>
        <v>2.6171196207718245E-11</v>
      </c>
      <c r="L12" s="80">
        <f>Cálculos!L13*Cálculos!M19</f>
        <v>4.1805627437389719E-13</v>
      </c>
      <c r="M12" s="80">
        <f>Cálculos!L13*Cálculos!M20</f>
        <v>5.9359932162313068E-15</v>
      </c>
      <c r="N12" s="81">
        <f>Cálculos!L13*Cálculos!M21</f>
        <v>7.5856806513247195E-17</v>
      </c>
      <c r="R12" s="153" t="s">
        <v>28</v>
      </c>
      <c r="S12" s="151" t="s">
        <v>7</v>
      </c>
      <c r="T12" s="151"/>
      <c r="U12" s="151"/>
      <c r="V12" s="151"/>
      <c r="W12" s="151"/>
      <c r="X12" s="151"/>
      <c r="Y12" s="152"/>
      <c r="Z12"/>
      <c r="AA12"/>
      <c r="AB12" s="115" t="s">
        <v>96</v>
      </c>
      <c r="AC12" s="116" t="s">
        <v>97</v>
      </c>
    </row>
    <row r="13" spans="1:33" ht="15.75" customHeight="1" thickBot="1">
      <c r="B13" s="160"/>
      <c r="C13" s="66">
        <v>3</v>
      </c>
      <c r="D13" s="76">
        <f>Cálculos!L14*Cálculos!M11</f>
        <v>0.16950393616191373</v>
      </c>
      <c r="E13" s="78">
        <f>Cálculos!L14*Cálculos!M12</f>
        <v>2.1661121939137766E-2</v>
      </c>
      <c r="F13" s="100">
        <f>Cálculos!L14*Cálculos!M13</f>
        <v>1.3840510559412665E-3</v>
      </c>
      <c r="G13" s="103">
        <f>Cálculos!L14*Cálculos!M14</f>
        <v>5.8956543766430168E-5</v>
      </c>
      <c r="H13" s="97">
        <f>Cálculos!L14*Cálculos!M15</f>
        <v>1.8835327847709636E-6</v>
      </c>
      <c r="I13" s="80">
        <f>Cálculos!L14*Cálculos!M16</f>
        <v>4.8139806368054011E-8</v>
      </c>
      <c r="J13" s="80">
        <f>Cálculos!L14*Cálculos!M17</f>
        <v>1.0253077691254222E-9</v>
      </c>
      <c r="K13" s="80">
        <f>Cálculos!L14*Cálculos!M18</f>
        <v>1.8717910556329232E-11</v>
      </c>
      <c r="L13" s="80">
        <f>Cálculos!L14*Cálculos!M19</f>
        <v>2.9899817681757702E-13</v>
      </c>
      <c r="M13" s="80">
        <f>Cálculos!L14*Cálculos!M20</f>
        <v>4.2454838213175372E-15</v>
      </c>
      <c r="N13" s="81">
        <f>Cálculos!L14*Cálculos!M21</f>
        <v>5.4253573590380687E-17</v>
      </c>
      <c r="O13" s="32"/>
      <c r="R13" s="154"/>
      <c r="S13" s="104">
        <v>0</v>
      </c>
      <c r="T13" s="104">
        <v>1</v>
      </c>
      <c r="U13" s="104">
        <v>2</v>
      </c>
      <c r="V13" s="104">
        <v>3</v>
      </c>
      <c r="W13" s="104">
        <v>4</v>
      </c>
      <c r="X13" s="104">
        <v>5</v>
      </c>
      <c r="Y13" s="105">
        <v>6</v>
      </c>
      <c r="Z13"/>
      <c r="AA13" s="33"/>
      <c r="AB13" s="117">
        <f>SUM(E11:N20)</f>
        <v>0.10592624516826485</v>
      </c>
      <c r="AC13" s="107">
        <f>SUM(D10:D20,E10:N10)</f>
        <v>0.89405950125404621</v>
      </c>
    </row>
    <row r="14" spans="1:33" ht="15.75" customHeight="1" thickBot="1">
      <c r="B14" s="160"/>
      <c r="C14" s="66">
        <v>4</v>
      </c>
      <c r="D14" s="76">
        <f>Cálculos!L15*Cálculos!M11</f>
        <v>9.0923227892677053E-2</v>
      </c>
      <c r="E14" s="78">
        <f>Cálculos!L15*Cálculos!M12</f>
        <v>1.1619194049877298E-2</v>
      </c>
      <c r="F14" s="78">
        <f>Cálculos!L15*Cálculos!M13</f>
        <v>7.4241573631800956E-4</v>
      </c>
      <c r="G14" s="100">
        <f>Cálculos!L15*Cálculos!M14</f>
        <v>3.1624747991216187E-5</v>
      </c>
      <c r="H14" s="103">
        <f>Cálculos!L15*Cálculos!M15</f>
        <v>1.0103416151319978E-6</v>
      </c>
      <c r="I14" s="97">
        <f>Cálculos!L15*Cálculos!M16</f>
        <v>2.5822566037232858E-8</v>
      </c>
      <c r="J14" s="80">
        <f>Cálculos!L15*Cálculos!M17</f>
        <v>5.4998305091436497E-10</v>
      </c>
      <c r="K14" s="80">
        <f>Cálculos!L15*Cálculos!M18</f>
        <v>1.0040432604244567E-11</v>
      </c>
      <c r="L14" s="80">
        <f>Cálculos!L15*Cálculos!M19</f>
        <v>1.6038494436088479E-13</v>
      </c>
      <c r="M14" s="80">
        <f>Cálculos!L15*Cálculos!M20</f>
        <v>2.2773104963863495E-15</v>
      </c>
      <c r="N14" s="81">
        <f>Cálculos!L15*Cálculos!M21</f>
        <v>2.9102038260859552E-17</v>
      </c>
      <c r="O14" s="33"/>
      <c r="R14" s="24" t="s">
        <v>8</v>
      </c>
      <c r="S14" s="46">
        <f>Cálculos!L11</f>
        <v>0.11699435131643261</v>
      </c>
      <c r="T14" s="47">
        <f>Cálculos!L12</f>
        <v>0.25102671496050111</v>
      </c>
      <c r="U14" s="47">
        <f>Cálculos!L13</f>
        <v>0.26930535925374155</v>
      </c>
      <c r="V14" s="47">
        <f>Cálculos!L14</f>
        <v>0.19260998186109027</v>
      </c>
      <c r="W14" s="47">
        <f>Cálculos!L15</f>
        <v>0.10331749027014796</v>
      </c>
      <c r="X14" s="47">
        <f>Cálculos!L16</f>
        <v>4.4336243397480976E-2</v>
      </c>
      <c r="Y14" s="48">
        <f>Cálculos!L17</f>
        <v>1.5854870211720547E-2</v>
      </c>
      <c r="Z14"/>
      <c r="AA14"/>
    </row>
    <row r="15" spans="1:33" ht="15.75" thickBot="1">
      <c r="B15" s="160"/>
      <c r="C15" s="66">
        <v>5</v>
      </c>
      <c r="D15" s="76">
        <f>Cálculos!L16*Cálculos!M11</f>
        <v>3.9017540513168213E-2</v>
      </c>
      <c r="E15" s="78">
        <f>Cálculos!L16*Cálculos!M12</f>
        <v>4.9861007476172496E-3</v>
      </c>
      <c r="F15" s="78">
        <f>Cálculos!L16*Cálculos!M13</f>
        <v>3.1859005383743716E-4</v>
      </c>
      <c r="G15" s="78">
        <f>Cálculos!L16*Cálculos!M14</f>
        <v>1.3571008361279182E-5</v>
      </c>
      <c r="H15" s="100">
        <f>Cálculos!L16*Cálculos!M15</f>
        <v>4.3356407173625541E-7</v>
      </c>
      <c r="I15" s="103">
        <f>Cálculos!L16*Cálculos!M16</f>
        <v>1.1081139988793132E-8</v>
      </c>
      <c r="J15" s="97">
        <f>Cálculos!L16*Cálculos!M17</f>
        <v>2.3601214417878578E-10</v>
      </c>
      <c r="K15" s="80">
        <f>Cálculos!L16*Cálculos!M18</f>
        <v>4.3086128262874749E-12</v>
      </c>
      <c r="L15" s="80">
        <f>Cálculos!L16*Cálculos!M19</f>
        <v>6.8825383890787464E-14</v>
      </c>
      <c r="M15" s="80">
        <f>Cálculos!L16*Cálculos!M20</f>
        <v>9.7725363048812306E-16</v>
      </c>
      <c r="N15" s="81">
        <f>Cálculos!L16*Cálculos!M21</f>
        <v>1.2488447486698954E-17</v>
      </c>
      <c r="O15" s="33"/>
      <c r="R15" s="25" t="s">
        <v>9</v>
      </c>
      <c r="S15" s="49">
        <f>Cálculos!M11</f>
        <v>0.88003713267653727</v>
      </c>
      <c r="T15" s="50">
        <f>Cálculos!M12</f>
        <v>0.11246105591121285</v>
      </c>
      <c r="U15" s="50">
        <f>Cálculos!M13</f>
        <v>7.1857701380162106E-3</v>
      </c>
      <c r="V15" s="50">
        <f>Cálculos!M14</f>
        <v>3.0609287845190415E-4</v>
      </c>
      <c r="W15" s="50">
        <f>Cálculos!M15</f>
        <v>9.7789988170465734E-6</v>
      </c>
      <c r="X15" s="50">
        <f>Cálculos!M16</f>
        <v>2.4993412025121465E-7</v>
      </c>
      <c r="Y15" s="51">
        <f>Cálculos!M17</f>
        <v>5.3232327796223515E-9</v>
      </c>
      <c r="Z15"/>
      <c r="AA15" s="33"/>
      <c r="AB15" s="173" t="s">
        <v>86</v>
      </c>
      <c r="AC15" s="174"/>
    </row>
    <row r="16" spans="1:33" ht="15.75" thickBot="1">
      <c r="B16" s="160"/>
      <c r="C16" s="66">
        <v>6</v>
      </c>
      <c r="D16" s="76">
        <f>Cálculos!L17*Cálculos!M11</f>
        <v>1.3952874520081194E-2</v>
      </c>
      <c r="E16" s="78">
        <f>Cálculos!L17*Cálculos!M12</f>
        <v>1.7830554453453274E-3</v>
      </c>
      <c r="F16" s="78">
        <f>Cálculos!L17*Cálculos!M13</f>
        <v>1.1392945290950427E-4</v>
      </c>
      <c r="G16" s="78">
        <f>Cálculos!L17*Cálculos!M14</f>
        <v>4.8530628605868936E-6</v>
      </c>
      <c r="H16" s="78">
        <f>Cálculos!L17*Cálculos!M15</f>
        <v>1.5504475704484218E-7</v>
      </c>
      <c r="I16" s="100">
        <f>Cálculos!L17*Cálculos!M16</f>
        <v>3.9626730380635642E-9</v>
      </c>
      <c r="J16" s="103">
        <f>Cálculos!L17*Cálculos!M17</f>
        <v>8.4399164827688795E-11</v>
      </c>
      <c r="K16" s="97">
        <f>Cálculos!L17*Cálculos!M18</f>
        <v>1.5407822566497285E-12</v>
      </c>
      <c r="L16" s="80">
        <f>Cálculos!L17*Cálculos!M19</f>
        <v>2.461231365673792E-14</v>
      </c>
      <c r="M16" s="80">
        <f>Cálculos!L17*Cálculos!M20</f>
        <v>3.4947095847552626E-16</v>
      </c>
      <c r="N16" s="81">
        <f>Cálculos!L17*Cálculos!M21</f>
        <v>4.4659334863438025E-18</v>
      </c>
      <c r="O16" s="33"/>
      <c r="S16"/>
      <c r="T16"/>
      <c r="U16"/>
      <c r="V16"/>
      <c r="W16"/>
      <c r="X16"/>
      <c r="Y16"/>
      <c r="Z16"/>
      <c r="AA16"/>
      <c r="AB16" s="171" t="s">
        <v>110</v>
      </c>
      <c r="AC16" s="172"/>
    </row>
    <row r="17" spans="1:33" ht="15.75" customHeight="1" thickBot="1">
      <c r="B17" s="160"/>
      <c r="C17" s="66">
        <v>7</v>
      </c>
      <c r="D17" s="76">
        <f>Cálculos!L18*Cálculos!M11</f>
        <v>4.2768172939499933E-3</v>
      </c>
      <c r="E17" s="78">
        <f>Cálculos!L18*Cálculos!M12</f>
        <v>5.4653987991860962E-4</v>
      </c>
      <c r="F17" s="78">
        <f>Cálculos!L18*Cálculos!M13</f>
        <v>3.4921510531207282E-5</v>
      </c>
      <c r="G17" s="78">
        <f>Cálculos!L18*Cálculos!M14</f>
        <v>1.4875546354919608E-6</v>
      </c>
      <c r="H17" s="78">
        <f>Cálculos!L18*Cálculos!M15</f>
        <v>4.7524121091414891E-8</v>
      </c>
      <c r="I17" s="78">
        <f>Cálculos!L18*Cálculos!M16</f>
        <v>1.2146334832344633E-9</v>
      </c>
      <c r="J17" s="100">
        <f>Cálculos!L18*Cálculos!M17</f>
        <v>2.5869924309180621E-11</v>
      </c>
      <c r="K17" s="103">
        <f>Cálculos!L18*Cálculos!M18</f>
        <v>4.7227861126156743E-13</v>
      </c>
      <c r="L17" s="97">
        <f>Cálculos!L18*Cálculos!M19</f>
        <v>7.5441349766145376E-15</v>
      </c>
      <c r="M17" s="80">
        <f>Cálculos!L18*Cálculos!M20</f>
        <v>1.0711939226503652E-16</v>
      </c>
      <c r="N17" s="81">
        <f>Cálculos!L18*Cálculos!M21</f>
        <v>1.3688922336781979E-18</v>
      </c>
      <c r="R17" s="143"/>
      <c r="S17" s="144"/>
      <c r="T17" s="88" t="s">
        <v>88</v>
      </c>
      <c r="U17" s="89" t="s">
        <v>87</v>
      </c>
      <c r="V17"/>
      <c r="Y17"/>
      <c r="AB17" s="169" t="s">
        <v>117</v>
      </c>
      <c r="AC17" s="170"/>
    </row>
    <row r="18" spans="1:33" ht="15.75" thickBot="1">
      <c r="B18" s="160"/>
      <c r="C18" s="66">
        <v>8</v>
      </c>
      <c r="D18" s="76">
        <f>Cálculos!L19*Cálculos!M11</f>
        <v>1.1470590072365878E-3</v>
      </c>
      <c r="E18" s="78">
        <f>Cálculos!L19*Cálculos!M12</f>
        <v>1.4658411827914164E-4</v>
      </c>
      <c r="F18" s="78">
        <f>Cálculos!L19*Cálculos!M13</f>
        <v>9.3660847419864177E-6</v>
      </c>
      <c r="G18" s="78">
        <f>Cálculos!L19*Cálculos!M14</f>
        <v>3.9896793015014965E-7</v>
      </c>
      <c r="H18" s="78">
        <f>Cálculos!L19*Cálculos!M15</f>
        <v>1.2746153836411031E-8</v>
      </c>
      <c r="I18" s="78">
        <f>Cálculos!L19*Cálculos!M16</f>
        <v>3.2576941722671891E-10</v>
      </c>
      <c r="J18" s="78">
        <f>Cálculos!L19*Cálculos!M17</f>
        <v>6.9384141654477148E-12</v>
      </c>
      <c r="K18" s="100">
        <f>Cálculos!L19*Cálculos!M18</f>
        <v>1.2666695763204658E-13</v>
      </c>
      <c r="L18" s="103">
        <f>Cálculos!L19*Cálculos!M19</f>
        <v>2.0233662983395786E-15</v>
      </c>
      <c r="M18" s="97">
        <f>Cálculos!L19*Cálculos!M20</f>
        <v>2.8729837003122658E-17</v>
      </c>
      <c r="N18" s="81">
        <f>Cálculos!L19*Cálculos!M21</f>
        <v>3.6714221315883702E-19</v>
      </c>
      <c r="R18" s="141" t="s">
        <v>27</v>
      </c>
      <c r="S18" s="142"/>
      <c r="T18" s="90">
        <f>Cálculos!C39</f>
        <v>1.0728155339805827</v>
      </c>
      <c r="U18" s="91">
        <f>Cálculos!D39</f>
        <v>0.28398058252427183</v>
      </c>
      <c r="V18"/>
      <c r="Y18"/>
    </row>
    <row r="19" spans="1:33" ht="15.75" thickBot="1">
      <c r="B19" s="160"/>
      <c r="C19" s="66">
        <v>9</v>
      </c>
      <c r="D19" s="76">
        <f>Cálculos!L20*Cálculos!M11</f>
        <v>2.7346282696794603E-4</v>
      </c>
      <c r="E19" s="78">
        <f>Cálculos!L20*Cálculos!M12</f>
        <v>3.494615980549116E-5</v>
      </c>
      <c r="F19" s="78">
        <f>Cálculos!L20*Cálculos!M13</f>
        <v>2.2329069341736771E-6</v>
      </c>
      <c r="G19" s="78">
        <f>Cálculos!L20*Cálculos!M14</f>
        <v>9.5115331783369036E-8</v>
      </c>
      <c r="H19" s="78">
        <f>Cálculos!L20*Cálculos!M15</f>
        <v>3.0387270742684342E-9</v>
      </c>
      <c r="I19" s="78">
        <f>Cálculos!L20*Cálculos!M16</f>
        <v>7.7664553621472366E-11</v>
      </c>
      <c r="J19" s="78">
        <f>Cálculos!L20*Cálculos!M17</f>
        <v>1.6541418884184954E-12</v>
      </c>
      <c r="K19" s="78">
        <f>Cálculos!L20*Cálculos!M18</f>
        <v>3.019783995327109E-14</v>
      </c>
      <c r="L19" s="100">
        <f>Cálculos!L20*Cálculos!M19</f>
        <v>4.8237751017588671E-16</v>
      </c>
      <c r="M19" s="103">
        <f>Cálculos!L20*Cálculos!M20</f>
        <v>6.849292316817808E-18</v>
      </c>
      <c r="N19" s="98">
        <f>Cálculos!L20*Cálculos!M21</f>
        <v>8.752797099040237E-20</v>
      </c>
      <c r="R19" s="141" t="s">
        <v>77</v>
      </c>
      <c r="S19" s="142"/>
      <c r="T19" s="90">
        <f>Cálculos!C40</f>
        <v>0.17038834951456314</v>
      </c>
      <c r="U19" s="91">
        <f>Cálculos!D40</f>
        <v>0.75728155339805825</v>
      </c>
      <c r="V19"/>
      <c r="Y19"/>
      <c r="Z19"/>
      <c r="AA19" s="181" t="s">
        <v>98</v>
      </c>
      <c r="AB19" s="179"/>
      <c r="AC19" s="179" t="s">
        <v>99</v>
      </c>
      <c r="AD19" s="180"/>
    </row>
    <row r="20" spans="1:33" ht="15.75" thickBot="1">
      <c r="B20" s="161"/>
      <c r="C20" s="67">
        <v>10</v>
      </c>
      <c r="D20" s="85">
        <f>Cálculos!L21*Cálculos!M11</f>
        <v>5.8675033747491336E-5</v>
      </c>
      <c r="E20" s="79">
        <f>Cálculos!L21*Cálculos!M12</f>
        <v>7.4981566184597555E-6</v>
      </c>
      <c r="F20" s="79">
        <f>Cálculos!L21*Cálculos!M13</f>
        <v>4.7909944898289587E-7</v>
      </c>
      <c r="G20" s="79">
        <f>Cálculos!L21*Cálculos!M14</f>
        <v>2.0408241091383067E-8</v>
      </c>
      <c r="H20" s="79">
        <f>Cálculos!L21*Cálculos!M15</f>
        <v>6.5199872176050877E-10</v>
      </c>
      <c r="I20" s="79">
        <f>Cálculos!L21*Cálculos!M16</f>
        <v>1.6663947912956694E-11</v>
      </c>
      <c r="J20" s="79">
        <f>Cálculos!L21*Cálculos!M17</f>
        <v>3.5491782266066752E-13</v>
      </c>
      <c r="K20" s="79">
        <f>Cálculos!L21*Cálculos!M18</f>
        <v>6.4793423589057399E-15</v>
      </c>
      <c r="L20" s="79">
        <f>Cálculos!L21*Cálculos!M19</f>
        <v>1.0350041723191356E-16</v>
      </c>
      <c r="M20" s="101">
        <f>Cálculos!L21*Cálculos!M20</f>
        <v>1.4696054388511999E-18</v>
      </c>
      <c r="N20" s="103">
        <f>Cálculos!L21*Cálculos!M21</f>
        <v>1.8780273387261093E-20</v>
      </c>
      <c r="R20" s="165" t="s">
        <v>78</v>
      </c>
      <c r="S20" s="166"/>
      <c r="T20" s="92">
        <f>Cálculos!C41</f>
        <v>2.1456310679611654</v>
      </c>
      <c r="U20" s="93">
        <f>Cálculos!D41</f>
        <v>0.12779126213592235</v>
      </c>
      <c r="V20"/>
      <c r="Y20"/>
      <c r="Z20"/>
      <c r="AA20" s="175">
        <f>SUM(D10:D20,E11:E20,F12:F20,G13:G20,H14:H20,I15:I20,J16:J20,K17:K20,L18:L20,M19:M20,N20)</f>
        <v>0.98398048776810676</v>
      </c>
      <c r="AB20" s="176"/>
      <c r="AC20" s="177">
        <f>SUM(D10:N10,E11:N11,F12:N12,G13:N13,H14:N14,I15:N15,J16:N16,K17:N17,L18:N18,M19:N19,N20)</f>
        <v>0.14919050601237865</v>
      </c>
      <c r="AD20" s="178"/>
    </row>
    <row r="21" spans="1:33" ht="15.75" thickBot="1">
      <c r="AB21" s="182">
        <f>SUM(D10,E11,F12,G13,H14,I15,J16,K17,L18,M19,N20)</f>
        <v>0.13318524735817405</v>
      </c>
      <c r="AC21" s="183"/>
    </row>
    <row r="23" spans="1:33">
      <c r="A23" s="1"/>
      <c r="B23" s="1"/>
      <c r="C23" s="1"/>
      <c r="D23" s="1"/>
      <c r="E23" s="1"/>
      <c r="F23" s="1"/>
      <c r="G23" s="1"/>
      <c r="H23" s="1"/>
      <c r="I23" s="1"/>
      <c r="J23" s="1"/>
      <c r="K23" s="1"/>
      <c r="L23" s="1"/>
      <c r="M23" s="1"/>
      <c r="N23" s="1"/>
      <c r="O23" s="1"/>
      <c r="P23" s="1"/>
      <c r="Q23" s="1"/>
      <c r="R23" s="1"/>
      <c r="S23" s="75"/>
      <c r="T23" s="75"/>
      <c r="U23" s="75"/>
      <c r="V23" s="150"/>
      <c r="W23" s="150"/>
      <c r="X23" s="150"/>
      <c r="Y23" s="150"/>
      <c r="Z23" s="150"/>
      <c r="AA23" s="150"/>
      <c r="AB23" s="150"/>
      <c r="AC23" s="150"/>
      <c r="AD23" s="150"/>
      <c r="AE23" s="150"/>
      <c r="AF23" s="150"/>
      <c r="AG23" s="150"/>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M28" sqref="M28"/>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87" t="s">
        <v>34</v>
      </c>
      <c r="C2" s="187"/>
    </row>
    <row r="3" spans="1:26">
      <c r="I3" s="188" t="s">
        <v>32</v>
      </c>
      <c r="J3" s="189"/>
      <c r="K3" s="189"/>
      <c r="L3" s="190" t="s">
        <v>31</v>
      </c>
      <c r="M3" s="189" t="s">
        <v>33</v>
      </c>
      <c r="N3" s="189"/>
      <c r="O3" s="192"/>
    </row>
    <row r="4" spans="1:26" ht="15.75" thickBot="1">
      <c r="I4" s="193" t="s">
        <v>114</v>
      </c>
      <c r="J4" s="194"/>
      <c r="K4" s="194"/>
      <c r="L4" s="191"/>
      <c r="M4" s="194" t="s">
        <v>115</v>
      </c>
      <c r="N4" s="194"/>
      <c r="O4" s="195"/>
    </row>
    <row r="5" spans="1:26" ht="15.75" thickBot="1">
      <c r="J5" s="184" t="s">
        <v>116</v>
      </c>
      <c r="K5" s="185"/>
      <c r="L5" s="185"/>
      <c r="M5" s="185"/>
      <c r="N5" s="186"/>
    </row>
    <row r="6" spans="1:26">
      <c r="A6" s="196" t="s">
        <v>29</v>
      </c>
      <c r="B6" s="196"/>
      <c r="C6" s="196"/>
      <c r="D6" s="196"/>
      <c r="E6" s="196"/>
      <c r="F6" s="196"/>
      <c r="G6" s="196"/>
      <c r="H6" s="196"/>
      <c r="I6" s="196"/>
      <c r="J6" s="196"/>
      <c r="K6" s="196"/>
      <c r="L6" s="196"/>
      <c r="M6" s="196"/>
      <c r="N6" s="196"/>
      <c r="O6" s="196"/>
      <c r="P6" s="196"/>
      <c r="Q6" s="196"/>
      <c r="R6" s="196"/>
      <c r="S6" s="196"/>
      <c r="T6" s="196"/>
      <c r="U6" s="196"/>
    </row>
    <row r="7" spans="1:26" ht="15.75" thickBot="1">
      <c r="A7" s="197"/>
      <c r="B7" s="197"/>
      <c r="C7" s="197"/>
      <c r="D7" s="197"/>
      <c r="E7" s="197"/>
      <c r="F7" s="197"/>
      <c r="G7" s="197"/>
      <c r="H7" s="197"/>
      <c r="I7" s="197"/>
      <c r="J7" s="197"/>
      <c r="K7" s="197"/>
      <c r="L7" s="197"/>
      <c r="M7" s="197"/>
      <c r="N7" s="197"/>
      <c r="O7" s="197"/>
      <c r="P7" s="197"/>
      <c r="Q7" s="197"/>
      <c r="R7" s="197"/>
      <c r="S7" s="197"/>
      <c r="T7" s="197"/>
      <c r="U7" s="197"/>
    </row>
    <row r="8" spans="1:26" ht="15.75" thickTop="1"/>
    <row r="9" spans="1:26" ht="15.75" thickBot="1">
      <c r="P9" s="198" t="s">
        <v>23</v>
      </c>
      <c r="Q9" s="198"/>
    </row>
    <row r="10" spans="1:26" ht="15.75" thickBot="1">
      <c r="C10" s="203" t="s">
        <v>10</v>
      </c>
      <c r="D10" s="204"/>
      <c r="H10" s="205" t="s">
        <v>14</v>
      </c>
      <c r="I10" s="206"/>
      <c r="K10" s="15"/>
      <c r="L10" s="16" t="s">
        <v>0</v>
      </c>
      <c r="M10" s="17" t="s">
        <v>1</v>
      </c>
      <c r="P10" s="14" t="s">
        <v>94</v>
      </c>
      <c r="Q10" s="14" t="s">
        <v>95</v>
      </c>
      <c r="R10" s="14" t="s">
        <v>92</v>
      </c>
      <c r="T10" s="207" t="s">
        <v>93</v>
      </c>
      <c r="U10" s="207"/>
      <c r="V10" s="207"/>
      <c r="W10" s="207"/>
      <c r="X10" s="207"/>
      <c r="Y10" s="207"/>
      <c r="Z10" s="207"/>
    </row>
    <row r="11" spans="1:26" ht="15.75" thickBot="1">
      <c r="C11" s="22" t="s">
        <v>11</v>
      </c>
      <c r="D11" s="23" t="s">
        <v>12</v>
      </c>
      <c r="E11" s="7"/>
      <c r="H11" s="30" t="s">
        <v>12</v>
      </c>
      <c r="I11" s="31" t="s">
        <v>11</v>
      </c>
      <c r="K11" s="24" t="s">
        <v>16</v>
      </c>
      <c r="L11" s="52">
        <f>((C41^0)*(2.71828^(-C41)))/FACT(0)</f>
        <v>0.11699435131643261</v>
      </c>
      <c r="M11" s="53">
        <f>((D41^0)*(2.71828^(-D41)))/FACT(0)</f>
        <v>0.88003713267653727</v>
      </c>
      <c r="P11" s="34">
        <v>10</v>
      </c>
      <c r="Q11" s="35">
        <v>10</v>
      </c>
      <c r="R11" s="110"/>
      <c r="T11" s="207"/>
      <c r="U11" s="207"/>
      <c r="V11" s="207"/>
      <c r="W11" s="207"/>
      <c r="X11" s="207"/>
      <c r="Y11" s="207"/>
      <c r="Z11" s="207"/>
    </row>
    <row r="12" spans="1:26">
      <c r="B12">
        <v>1</v>
      </c>
      <c r="C12" s="40">
        <v>2</v>
      </c>
      <c r="D12" s="41">
        <v>1</v>
      </c>
      <c r="G12">
        <v>1</v>
      </c>
      <c r="H12" s="40">
        <v>1</v>
      </c>
      <c r="I12" s="41">
        <v>2</v>
      </c>
      <c r="K12" s="24" t="s">
        <v>17</v>
      </c>
      <c r="L12" s="52">
        <f>((C41^1)*(2.71828^(-C41)))/FACT(1)</f>
        <v>0.25102671496050111</v>
      </c>
      <c r="M12" s="53">
        <f>((D41^1)*(2.71828^(-D41)))/FACT(1)</f>
        <v>0.11246105591121285</v>
      </c>
      <c r="P12" s="36">
        <v>7</v>
      </c>
      <c r="Q12" s="37">
        <v>7</v>
      </c>
      <c r="R12" s="111"/>
      <c r="T12" s="207"/>
      <c r="U12" s="207"/>
      <c r="V12" s="207"/>
      <c r="W12" s="207"/>
      <c r="X12" s="207"/>
      <c r="Y12" s="207"/>
      <c r="Z12" s="207"/>
    </row>
    <row r="13" spans="1:26">
      <c r="B13">
        <v>2</v>
      </c>
      <c r="C13" s="42">
        <v>1</v>
      </c>
      <c r="D13" s="37">
        <v>1</v>
      </c>
      <c r="G13">
        <v>2</v>
      </c>
      <c r="H13" s="42">
        <v>2</v>
      </c>
      <c r="I13" s="37">
        <v>1</v>
      </c>
      <c r="K13" s="24" t="s">
        <v>18</v>
      </c>
      <c r="L13" s="52">
        <f>((C41^2)*(2.71828^(-C41)))/FACT(2)</f>
        <v>0.26930535925374155</v>
      </c>
      <c r="M13" s="53">
        <f>((D41^2)*(2.71828^(-D41)))/FACT(2)</f>
        <v>7.1857701380162106E-3</v>
      </c>
      <c r="P13" s="36">
        <v>9</v>
      </c>
      <c r="Q13" s="37">
        <v>9</v>
      </c>
      <c r="R13" s="111"/>
      <c r="T13" s="207"/>
      <c r="U13" s="207"/>
      <c r="V13" s="207"/>
      <c r="W13" s="207"/>
      <c r="X13" s="207"/>
      <c r="Y13" s="207"/>
      <c r="Z13" s="207"/>
    </row>
    <row r="14" spans="1:26">
      <c r="B14">
        <v>3</v>
      </c>
      <c r="C14" s="42">
        <v>2</v>
      </c>
      <c r="D14" s="37">
        <v>1</v>
      </c>
      <c r="G14">
        <v>3</v>
      </c>
      <c r="H14" s="42">
        <v>2</v>
      </c>
      <c r="I14" s="37">
        <v>2</v>
      </c>
      <c r="K14" s="24" t="s">
        <v>19</v>
      </c>
      <c r="L14" s="52">
        <f>((C41^3)*(2.71828^(-C41)))/FACT(3)</f>
        <v>0.19260998186109027</v>
      </c>
      <c r="M14" s="53">
        <f>((D41^3)*(2.71828^(-D41)))/FACT(3)</f>
        <v>3.0609287845190415E-4</v>
      </c>
      <c r="P14" s="36">
        <v>14</v>
      </c>
      <c r="Q14" s="37">
        <v>14</v>
      </c>
      <c r="R14" s="111"/>
    </row>
    <row r="15" spans="1:26">
      <c r="B15">
        <v>4</v>
      </c>
      <c r="C15" s="42">
        <v>2</v>
      </c>
      <c r="D15" s="37">
        <v>3</v>
      </c>
      <c r="G15">
        <v>4</v>
      </c>
      <c r="H15" s="42">
        <v>2</v>
      </c>
      <c r="I15" s="37">
        <v>2</v>
      </c>
      <c r="K15" s="24" t="s">
        <v>21</v>
      </c>
      <c r="L15" s="52">
        <f>((C41^4)*(2.71828^(-C41)))/FACT(4)</f>
        <v>0.10331749027014796</v>
      </c>
      <c r="M15" s="53">
        <f>((D41^4)*(2.71828^(-D41)))/FACT(4)</f>
        <v>9.7789988170465734E-6</v>
      </c>
      <c r="P15" s="36">
        <v>10</v>
      </c>
      <c r="Q15" s="37">
        <v>10</v>
      </c>
      <c r="R15" s="111"/>
    </row>
    <row r="16" spans="1:26">
      <c r="B16">
        <v>5</v>
      </c>
      <c r="C16" s="42">
        <v>1</v>
      </c>
      <c r="D16" s="37">
        <v>1</v>
      </c>
      <c r="G16">
        <v>5</v>
      </c>
      <c r="H16" s="42">
        <v>0</v>
      </c>
      <c r="I16" s="37">
        <v>0</v>
      </c>
      <c r="K16" s="24" t="s">
        <v>20</v>
      </c>
      <c r="L16" s="52">
        <f>((C41^5)*(2.71828^(-C41)))/FACT(5)</f>
        <v>4.4336243397480976E-2</v>
      </c>
      <c r="M16" s="53">
        <f>((D41^5)*(2.71828^(-D41)))/FACT(5)</f>
        <v>2.4993412025121465E-7</v>
      </c>
      <c r="P16" s="36">
        <v>9</v>
      </c>
      <c r="Q16" s="37">
        <v>9</v>
      </c>
      <c r="R16" s="111"/>
    </row>
    <row r="17" spans="2:18">
      <c r="B17">
        <v>6</v>
      </c>
      <c r="C17" s="42">
        <v>2</v>
      </c>
      <c r="D17" s="37">
        <v>2</v>
      </c>
      <c r="G17">
        <v>6</v>
      </c>
      <c r="H17" s="42">
        <v>1</v>
      </c>
      <c r="I17" s="37">
        <v>2</v>
      </c>
      <c r="K17" s="69" t="s">
        <v>22</v>
      </c>
      <c r="L17" s="70">
        <f>((C41^6)*(2.71828^(-C41)))/FACT(6)</f>
        <v>1.5854870211720547E-2</v>
      </c>
      <c r="M17" s="71">
        <f>((D41^6)*(2.71828^(-D41)))/FACT(6)</f>
        <v>5.3232327796223515E-9</v>
      </c>
      <c r="P17" s="36">
        <v>9</v>
      </c>
      <c r="Q17" s="37">
        <v>9</v>
      </c>
      <c r="R17" s="111"/>
    </row>
    <row r="18" spans="2:18">
      <c r="B18">
        <v>7</v>
      </c>
      <c r="C18" s="42"/>
      <c r="D18" s="37"/>
      <c r="G18">
        <v>7</v>
      </c>
      <c r="H18" s="42"/>
      <c r="I18" s="37"/>
      <c r="K18" s="72" t="s">
        <v>82</v>
      </c>
      <c r="L18" s="52">
        <f>((C41^7)*(2.71828^(-C41)))/FACT(7)</f>
        <v>4.8598145863942331E-3</v>
      </c>
      <c r="M18" s="53">
        <f>((D41^7)*(2.71828^(-D41)))/FACT(7)</f>
        <v>9.7180376507322101E-11</v>
      </c>
      <c r="P18" s="36">
        <v>10</v>
      </c>
      <c r="Q18" s="37">
        <v>10</v>
      </c>
      <c r="R18" s="111"/>
    </row>
    <row r="19" spans="2:18">
      <c r="B19">
        <v>8</v>
      </c>
      <c r="C19" s="42"/>
      <c r="D19" s="37"/>
      <c r="G19">
        <v>8</v>
      </c>
      <c r="H19" s="42"/>
      <c r="I19" s="37"/>
      <c r="K19" s="72" t="s">
        <v>83</v>
      </c>
      <c r="L19" s="52">
        <f>((C41^8)*(2.71828^(-C41)))/FACT(8)</f>
        <v>1.3034211451372882E-3</v>
      </c>
      <c r="M19" s="53">
        <f>((D41^8)*(2.71828^(-D41)))/FACT(8)</f>
        <v>1.552350371089353E-12</v>
      </c>
      <c r="P19" s="36">
        <v>8</v>
      </c>
      <c r="Q19" s="37">
        <v>8</v>
      </c>
      <c r="R19" s="111"/>
    </row>
    <row r="20" spans="2:18">
      <c r="B20">
        <v>9</v>
      </c>
      <c r="C20" s="42"/>
      <c r="D20" s="37"/>
      <c r="G20">
        <v>9</v>
      </c>
      <c r="H20" s="42"/>
      <c r="I20" s="37"/>
      <c r="K20" s="72" t="s">
        <v>84</v>
      </c>
      <c r="L20" s="52">
        <f>((C41^9)*(2.71828^(-C41)))/FACT(9)</f>
        <v>3.1074010040489831E-4</v>
      </c>
      <c r="M20" s="53">
        <f>((D41^9)*(2.71828^(-D41)))/FACT(9)</f>
        <v>2.2041868133186199E-14</v>
      </c>
      <c r="P20" s="36">
        <v>7</v>
      </c>
      <c r="Q20" s="37">
        <v>7</v>
      </c>
      <c r="R20" s="111"/>
    </row>
    <row r="21" spans="2:18" ht="15.75" thickBot="1">
      <c r="B21">
        <v>10</v>
      </c>
      <c r="C21" s="42"/>
      <c r="D21" s="37"/>
      <c r="G21">
        <v>10</v>
      </c>
      <c r="H21" s="42"/>
      <c r="I21" s="37"/>
      <c r="K21" s="73" t="s">
        <v>85</v>
      </c>
      <c r="L21" s="50">
        <f>((C41^10)*(2.71828^(-C41)))/FACT(10)</f>
        <v>6.6673361349012171E-5</v>
      </c>
      <c r="M21" s="51">
        <f>((D41^10)*(2.71828^(-D41)))/FACT(10)</f>
        <v>2.8167581485734317E-16</v>
      </c>
      <c r="P21" s="36">
        <v>6</v>
      </c>
      <c r="Q21" s="37">
        <v>6</v>
      </c>
      <c r="R21" s="111"/>
    </row>
    <row r="22" spans="2:18">
      <c r="B22">
        <v>11</v>
      </c>
      <c r="C22" s="42"/>
      <c r="D22" s="37"/>
      <c r="G22">
        <v>11</v>
      </c>
      <c r="H22" s="42"/>
      <c r="I22" s="37"/>
      <c r="P22" s="36">
        <v>4</v>
      </c>
      <c r="Q22" s="37">
        <v>4</v>
      </c>
      <c r="R22" s="111">
        <v>39</v>
      </c>
    </row>
    <row r="23" spans="2:18" ht="15.75" thickBot="1">
      <c r="B23">
        <v>12</v>
      </c>
      <c r="C23" s="42"/>
      <c r="D23" s="37"/>
      <c r="G23">
        <v>12</v>
      </c>
      <c r="H23" s="42"/>
      <c r="I23" s="37"/>
      <c r="P23" s="36"/>
      <c r="Q23" s="37"/>
      <c r="R23" s="111"/>
    </row>
    <row r="24" spans="2:18">
      <c r="B24">
        <v>13</v>
      </c>
      <c r="C24" s="42"/>
      <c r="D24" s="37"/>
      <c r="G24">
        <v>13</v>
      </c>
      <c r="H24" s="42"/>
      <c r="I24" s="37"/>
      <c r="K24" s="208" t="s">
        <v>100</v>
      </c>
      <c r="L24" s="209"/>
      <c r="M24" s="210"/>
      <c r="P24" s="36"/>
      <c r="Q24" s="37"/>
      <c r="R24" s="111"/>
    </row>
    <row r="25" spans="2:18">
      <c r="B25">
        <v>14</v>
      </c>
      <c r="C25" s="42"/>
      <c r="D25" s="37"/>
      <c r="G25">
        <v>14</v>
      </c>
      <c r="H25" s="42"/>
      <c r="I25" s="37"/>
      <c r="K25" s="118" t="s">
        <v>105</v>
      </c>
      <c r="L25" s="119" t="s">
        <v>101</v>
      </c>
      <c r="M25" s="120" t="s">
        <v>102</v>
      </c>
      <c r="P25" s="36"/>
      <c r="Q25" s="37"/>
      <c r="R25" s="111"/>
    </row>
    <row r="26" spans="2:18">
      <c r="B26">
        <v>15</v>
      </c>
      <c r="C26" s="42"/>
      <c r="D26" s="37"/>
      <c r="G26">
        <v>15</v>
      </c>
      <c r="H26" s="42"/>
      <c r="I26" s="37"/>
      <c r="K26" s="121" t="s">
        <v>103</v>
      </c>
      <c r="L26" s="123">
        <v>7</v>
      </c>
      <c r="M26" s="124">
        <v>0</v>
      </c>
      <c r="P26" s="36"/>
      <c r="Q26" s="37"/>
      <c r="R26" s="111"/>
    </row>
    <row r="27" spans="2:18" ht="15.75" thickBot="1">
      <c r="B27">
        <v>16</v>
      </c>
      <c r="C27" s="43"/>
      <c r="D27" s="39"/>
      <c r="G27">
        <v>16</v>
      </c>
      <c r="H27" s="43"/>
      <c r="I27" s="39"/>
      <c r="K27" s="122" t="s">
        <v>104</v>
      </c>
      <c r="L27" s="125">
        <v>0</v>
      </c>
      <c r="M27" s="126">
        <v>5</v>
      </c>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10</v>
      </c>
      <c r="D31" s="9">
        <f>SUM(D12:D30)</f>
        <v>9</v>
      </c>
      <c r="G31" s="27" t="s">
        <v>13</v>
      </c>
      <c r="H31" s="28">
        <f>SUM(H12:H30)</f>
        <v>8</v>
      </c>
      <c r="I31" s="29">
        <f>SUM(I12:I30)</f>
        <v>9</v>
      </c>
      <c r="P31" s="36"/>
      <c r="Q31" s="37"/>
      <c r="R31" s="111"/>
    </row>
    <row r="32" spans="2:18" ht="15.75" thickBot="1">
      <c r="B32" s="14" t="s">
        <v>15</v>
      </c>
      <c r="C32" s="10">
        <f>COUNT(C12:C30)</f>
        <v>6</v>
      </c>
      <c r="G32" s="14" t="s">
        <v>15</v>
      </c>
      <c r="H32" s="26">
        <f>COUNT(H12:H30)</f>
        <v>6</v>
      </c>
      <c r="P32" s="36"/>
      <c r="Q32" s="37"/>
      <c r="R32" s="111"/>
    </row>
    <row r="33" spans="1:21">
      <c r="P33" s="36"/>
      <c r="Q33" s="37"/>
      <c r="R33" s="111"/>
    </row>
    <row r="34" spans="1:21">
      <c r="B34" s="198" t="s">
        <v>5</v>
      </c>
      <c r="C34" s="198"/>
      <c r="D34" s="198"/>
      <c r="E34" s="198"/>
      <c r="G34" s="198" t="s">
        <v>6</v>
      </c>
      <c r="H34" s="198"/>
      <c r="I34" s="198"/>
      <c r="J34" s="198"/>
      <c r="P34" s="36"/>
      <c r="Q34" s="37"/>
      <c r="R34" s="111"/>
    </row>
    <row r="35" spans="1:21">
      <c r="B35" s="155" t="s">
        <v>2</v>
      </c>
      <c r="C35" s="156"/>
      <c r="D35" s="11" t="s">
        <v>4</v>
      </c>
      <c r="E35" s="3">
        <f>C31/C32*(1+L26/10)*(1-M26/10)</f>
        <v>2.8333333333333335</v>
      </c>
      <c r="G35" s="155" t="s">
        <v>2</v>
      </c>
      <c r="H35" s="156"/>
      <c r="I35" s="11" t="s">
        <v>4</v>
      </c>
      <c r="J35" s="3">
        <f>I31/H32*(1+L27/10)*(1-M27/10)</f>
        <v>0.75</v>
      </c>
      <c r="P35" s="36"/>
      <c r="Q35" s="37"/>
      <c r="R35" s="111"/>
    </row>
    <row r="36" spans="1:21" ht="15.75" thickBot="1">
      <c r="B36" s="157" t="s">
        <v>3</v>
      </c>
      <c r="C36" s="158"/>
      <c r="D36" s="12" t="s">
        <v>4</v>
      </c>
      <c r="E36" s="2">
        <f>D31/C32*(1-L26/10)*(1+M26/10)</f>
        <v>0.45000000000000007</v>
      </c>
      <c r="G36" s="157" t="s">
        <v>3</v>
      </c>
      <c r="H36" s="158"/>
      <c r="I36" s="12" t="s">
        <v>4</v>
      </c>
      <c r="J36" s="2">
        <f>H31/H32*(1-L27/10)*(1+M27/10)</f>
        <v>2</v>
      </c>
      <c r="P36" s="36"/>
      <c r="Q36" s="37"/>
      <c r="R36" s="111"/>
    </row>
    <row r="37" spans="1:21" ht="15.75" thickBot="1">
      <c r="P37" s="38"/>
      <c r="Q37" s="39"/>
      <c r="R37" s="112"/>
    </row>
    <row r="38" spans="1:21" ht="15.75" thickBot="1">
      <c r="B38" s="60"/>
      <c r="C38" s="61" t="s">
        <v>0</v>
      </c>
      <c r="D38" s="62" t="s">
        <v>1</v>
      </c>
      <c r="O38" s="114" t="s">
        <v>24</v>
      </c>
      <c r="P38" s="13">
        <f>SUM(P11:P37)</f>
        <v>103</v>
      </c>
      <c r="Q38" s="113">
        <f>SUM(Q11:Q37)</f>
        <v>103</v>
      </c>
    </row>
    <row r="39" spans="1:21" ht="15.75" thickBot="1">
      <c r="B39" s="63" t="s">
        <v>27</v>
      </c>
      <c r="C39" s="64">
        <f>E35/P41</f>
        <v>1.0728155339805827</v>
      </c>
      <c r="D39" s="65">
        <f>J35/Q41</f>
        <v>0.28398058252427183</v>
      </c>
      <c r="I39" t="s">
        <v>108</v>
      </c>
      <c r="K39" t="s">
        <v>109</v>
      </c>
      <c r="O39" s="14" t="s">
        <v>25</v>
      </c>
      <c r="P39" s="199">
        <f>SUM(R11:R37)</f>
        <v>39</v>
      </c>
      <c r="Q39" s="200"/>
    </row>
    <row r="40" spans="1:21" ht="15.75" thickBot="1">
      <c r="B40" s="18" t="s">
        <v>77</v>
      </c>
      <c r="C40" s="20">
        <f>E36/Q41</f>
        <v>0.17038834951456314</v>
      </c>
      <c r="D40" s="21">
        <f>J36/P41</f>
        <v>0.75728155339805825</v>
      </c>
      <c r="E40" t="s">
        <v>106</v>
      </c>
      <c r="I40" t="s">
        <v>107</v>
      </c>
      <c r="O40" s="14" t="s">
        <v>26</v>
      </c>
      <c r="P40" s="201">
        <f>COUNT(P11:P37)</f>
        <v>12</v>
      </c>
      <c r="Q40" s="202"/>
    </row>
    <row r="41" spans="1:21" ht="15.75" thickBot="1">
      <c r="B41" s="18" t="s">
        <v>78</v>
      </c>
      <c r="C41" s="20">
        <f>C39*D40*P41</f>
        <v>2.1456310679611654</v>
      </c>
      <c r="D41" s="21">
        <f>C40*D39*Q41</f>
        <v>0.12779126213592235</v>
      </c>
      <c r="O41" s="14" t="s">
        <v>35</v>
      </c>
      <c r="P41" s="19">
        <f>P38/(P39)</f>
        <v>2.641025641025641</v>
      </c>
      <c r="Q41" s="113">
        <f>Q38/(P39)</f>
        <v>2.641025641025641</v>
      </c>
    </row>
    <row r="43" spans="1:21">
      <c r="A43" s="196" t="s">
        <v>30</v>
      </c>
      <c r="B43" s="196"/>
      <c r="C43" s="196"/>
      <c r="D43" s="196"/>
      <c r="E43" s="196"/>
      <c r="F43" s="196"/>
      <c r="G43" s="196"/>
      <c r="H43" s="196"/>
      <c r="I43" s="196"/>
      <c r="J43" s="196"/>
      <c r="K43" s="196"/>
      <c r="L43" s="196"/>
      <c r="M43" s="196"/>
      <c r="N43" s="196"/>
      <c r="O43" s="196"/>
      <c r="P43" s="196"/>
      <c r="Q43" s="196"/>
      <c r="R43" s="196"/>
      <c r="S43" s="196"/>
      <c r="T43" s="196"/>
      <c r="U43" s="196"/>
    </row>
    <row r="44" spans="1:21" ht="15.75" thickBot="1">
      <c r="A44" s="197"/>
      <c r="B44" s="197"/>
      <c r="C44" s="197"/>
      <c r="D44" s="197"/>
      <c r="E44" s="197"/>
      <c r="F44" s="197"/>
      <c r="G44" s="197"/>
      <c r="H44" s="197"/>
      <c r="I44" s="197"/>
      <c r="J44" s="197"/>
      <c r="K44" s="197"/>
      <c r="L44" s="197"/>
      <c r="M44" s="197"/>
      <c r="N44" s="197"/>
      <c r="O44" s="197"/>
      <c r="P44" s="197"/>
      <c r="Q44" s="197"/>
      <c r="R44" s="197"/>
      <c r="S44" s="197"/>
      <c r="T44" s="197"/>
      <c r="U44" s="197"/>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2018-06-04T17:16:05Z</dcterms:modified>
</cp:coreProperties>
</file>