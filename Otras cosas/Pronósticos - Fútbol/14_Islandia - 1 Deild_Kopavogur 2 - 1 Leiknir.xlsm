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37" i="2" l="1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<sst xmlns="http://schemas.openxmlformats.org/spreadsheetml/2006/main" count="134" uniqueCount="89">
  <si>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</si>
  <si>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</si>
  <si>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</si>
  <si>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</si>
  <si>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</si>
  <si>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</si>
  <si>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</si>
  <si>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</si>
  <si>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</si>
  <si>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</si>
  <si>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</si>
  <si>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</si>
  <si>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</si>
  <si>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</si>
  <si>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</si>
  <si>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</si>
  <si>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</si>
  <si>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</si>
  <si>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</si>
  <si>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</si>
  <si>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</si>
  <si>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</si>
  <si>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</si>
  <si>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</si>
  <si>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</si>
  <si>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</si>
  <si>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</si>
  <si>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</si>
  <si>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</si>
  <si>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</si>
  <si>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</si>
  <si>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</si>
  <si>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</si>
  <si>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</si>
  <si>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</si>
  <si>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</si>
  <si>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</si>
  <si>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</si>
  <si>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</si>
  <si>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</si>
  <si>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</si>
  <si>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</si>
  <si>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</si>
  <si>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</si>
  <si>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</si>
  <si>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</si>
  <si>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</si>
  <si>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</si>
  <si>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</si>
  <si>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</si>
  <si>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</si>
  <si>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</si>
  <si>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</si>
  <si>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</si>
  <si>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</si>
  <si>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</si>
  <si>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</si>
  <si>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</si>
  <si>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</si>
  <si>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</si>
  <si>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</si>
  <si>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</si>
  <si>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</si>
  <si>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</si>
  <si>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</si>
  <si>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</si>
  <si>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</si>
  <si>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</si>
  <si>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</si>
  <si>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</si>
  <si>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</si>
  <si>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</si>
  <si>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</si>
  <si>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</si>
  <si>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</si>
  <si>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</si>
  <si>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</si>
  <si>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</si>
  <si>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</si>
  <si>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</si>
  <si>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</si>
  <si>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</si>
  <si>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</si>
  <si>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</si>
  <si>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2-0</t>
  </si>
  <si>
    <t>3-0</t>
  </si>
  <si>
    <t>Islandia - 1 Deild</t>
  </si>
  <si>
    <t>Kopavogur</t>
  </si>
  <si>
    <t>Leiknir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</si>
</sst>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J16" sqref="J16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15</v>
      </c>
    </row>
    <row r="2" spans="1:20">
      <c r="F2" s="65" t="s">
        <v>38</v>
      </c>
      <c r="G2" s="63"/>
      <c r="H2" s="63"/>
      <c r="I2" s="69" t="s">
        <v>33</v>
      </c>
      <c r="J2" s="63" t="s">
        <v>39</v>
      </c>
      <c r="K2" s="63"/>
      <c r="L2" s="64"/>
    </row>
    <row r="3" spans="1:20" ht="15.75" thickBot="1">
      <c r="F3" s="68" t="str">
        <f>Cálculos!I4</f>
        <v>Kopavogur</v>
      </c>
      <c r="G3" s="66"/>
      <c r="H3" s="66"/>
      <c r="I3" s="70"/>
      <c r="J3" s="66" t="str">
        <f>Cálculos!M4</f>
        <v>Leiknir</v>
      </c>
      <c r="K3" s="66"/>
      <c r="L3" s="67"/>
    </row>
    <row r="4" spans="1:20" ht="15.75" thickBot="1">
      <c r="G4" s="60" t="str">
        <f>Cálculos!J5</f>
        <v>Islandia - 1 Deild</v>
      </c>
      <c r="H4" s="61"/>
      <c r="I4" s="61"/>
      <c r="J4" s="61"/>
      <c r="K4" s="62"/>
    </row>
    <row r="6" spans="1:20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</row>
    <row r="7" spans="1:20" ht="15.75" thickBot="1"/>
    <row r="8" spans="1:20">
      <c r="B8" s="71" t="s">
        <v>5</v>
      </c>
      <c r="C8" s="72"/>
      <c r="D8" s="72"/>
      <c r="E8" s="73"/>
      <c r="G8" s="71" t="s">
        <v>6</v>
      </c>
      <c r="H8" s="72"/>
      <c r="I8" s="72"/>
      <c r="J8" s="73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7" t="s">
        <v>2</v>
      </c>
      <c r="C9" s="78"/>
      <c r="D9" s="11" t="s">
        <v>4</v>
      </c>
      <c r="E9" s="3">
        <f>Cálculos!E32</f>
        <v>2.8333333333333335</v>
      </c>
      <c r="G9" s="77" t="s">
        <v>2</v>
      </c>
      <c r="H9" s="78"/>
      <c r="I9" s="11" t="s">
        <v>4</v>
      </c>
      <c r="J9" s="3">
        <f>Cálculos!J32</f>
        <v>0.8</v>
      </c>
      <c r="L9" s="20" t="s">
        <v>29</v>
      </c>
      <c r="M9" s="23">
        <f>Cálculos!C36</f>
        <v>10.685714285714287</v>
      </c>
      <c r="N9" s="24">
        <f>Cálculos!D36</f>
        <v>1.3714285714285714</v>
      </c>
      <c r="P9" s="81"/>
      <c r="Q9" s="81"/>
      <c r="R9" s="81"/>
      <c r="S9" s="81"/>
      <c r="T9" s="81"/>
    </row>
    <row r="10" spans="1:20" ht="15.75" thickBot="1">
      <c r="B10" s="79" t="s">
        <v>3</v>
      </c>
      <c r="C10" s="80"/>
      <c r="D10" s="12" t="s">
        <v>4</v>
      </c>
      <c r="E10" s="2">
        <f>Cálculos!E33</f>
        <v>1</v>
      </c>
      <c r="G10" s="79" t="s">
        <v>3</v>
      </c>
      <c r="H10" s="80"/>
      <c r="I10" s="12" t="s">
        <v>4</v>
      </c>
      <c r="J10" s="2">
        <f>Cálculos!J33</f>
        <v>2.2000000000000002</v>
      </c>
      <c r="P10" s="81"/>
      <c r="Q10" s="81"/>
      <c r="R10" s="81"/>
      <c r="S10" s="81"/>
      <c r="T10" s="81"/>
    </row>
    <row r="11" spans="1:20">
      <c r="P11" s="81"/>
      <c r="Q11" s="81"/>
      <c r="R11" s="81"/>
      <c r="S11" s="81"/>
      <c r="T11" s="81"/>
    </row>
    <row r="12" spans="1:20">
      <c r="B12" s="76" t="s">
        <v>30</v>
      </c>
      <c r="C12" s="75" t="s">
        <v>7</v>
      </c>
      <c r="D12" s="75"/>
      <c r="E12" s="75"/>
      <c r="F12" s="75"/>
      <c r="G12" s="75"/>
      <c r="H12" s="75"/>
      <c r="I12" s="75"/>
      <c r="K12" s="35" t="s">
        <v>34</v>
      </c>
      <c r="L12" s="35"/>
      <c r="M12" s="35"/>
      <c r="N12" s="35" t="s">
        <v>35</v>
      </c>
      <c r="O12" s="35"/>
      <c r="P12" s="81"/>
      <c r="Q12" s="81"/>
      <c r="R12" s="81"/>
      <c r="S12" s="81"/>
      <c r="T12" s="81"/>
    </row>
    <row r="13" spans="1:20" ht="15.75" thickBot="1">
      <c r="B13" s="76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84</v>
      </c>
      <c r="L13" s="36"/>
      <c r="M13" s="36" t="s">
        <v>36</v>
      </c>
      <c r="N13" s="36"/>
      <c r="O13" s="36"/>
      <c r="P13" s="81"/>
      <c r="Q13" s="81"/>
      <c r="R13" s="81"/>
      <c r="S13" s="81"/>
      <c r="T13" s="81"/>
    </row>
    <row r="14" spans="1:20">
      <c r="B14" s="16" t="s">
        <v>8</v>
      </c>
      <c r="C14" s="49">
        <f>Cálculos!L11</f>
        <v>5.8816583737871984E-2</v>
      </c>
      <c r="D14" s="50">
        <f>Cálculos!L12</f>
        <v>0.16664698725730395</v>
      </c>
      <c r="E14" s="50">
        <f>Cálculos!L13</f>
        <v>0.23608323194784731</v>
      </c>
      <c r="F14" s="50">
        <f>Cálculos!L14</f>
        <v>0.22296749683963357</v>
      </c>
      <c r="G14" s="50">
        <f>Cálculos!L15</f>
        <v>0.15793531026140709</v>
      </c>
      <c r="H14" s="50">
        <f>Cálculos!L16</f>
        <v>8.949667581479738E-2</v>
      </c>
      <c r="I14" s="51">
        <f>Cálculos!L17</f>
        <v>4.2262319134765421E-2</v>
      </c>
      <c r="K14" s="36" t="s">
        <v>85</v>
      </c>
      <c r="L14" s="36"/>
      <c r="M14" s="36" t="s">
        <v>37</v>
      </c>
      <c r="N14" s="36"/>
      <c r="O14" s="36"/>
      <c r="P14" s="81"/>
      <c r="Q14" s="81"/>
      <c r="R14" s="81"/>
      <c r="S14" s="81"/>
      <c r="T14" s="81"/>
    </row>
    <row r="15" spans="1:20" ht="15.75" thickBot="1">
      <c r="B15" s="16" t="s">
        <v>9</v>
      </c>
      <c r="C15" s="52">
        <f>Cálculos!M11</f>
        <v>0.44932920591116582</v>
      </c>
      <c r="D15" s="53">
        <f>Cálculos!M12</f>
        <v>0.3594633647289327</v>
      </c>
      <c r="E15" s="53">
        <f>Cálculos!M13</f>
        <v>0.1437853458915731</v>
      </c>
      <c r="F15" s="53">
        <f>Cálculos!M14</f>
        <v>3.8342758904419495E-2</v>
      </c>
      <c r="G15" s="53">
        <f>Cálculos!M15</f>
        <v>7.668551780883901E-3</v>
      </c>
      <c r="H15" s="53">
        <f>Cálculos!M16</f>
        <v>1.2269682849414241E-3</v>
      </c>
      <c r="I15" s="54">
        <f>Cálculos!M17</f>
        <v>1.6359577132552322E-4</v>
      </c>
      <c r="K15" s="36"/>
      <c r="L15" s="36"/>
      <c r="M15" s="36"/>
      <c r="N15" s="36"/>
      <c r="O15" s="36"/>
      <c r="P15" s="81"/>
      <c r="Q15" s="81"/>
      <c r="R15" s="81"/>
      <c r="S15" s="81"/>
      <c r="T15" s="81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  <mergeCell ref="G4:K4"/>
    <mergeCell ref="J2:L2"/>
    <mergeCell ref="F2:H2"/>
    <mergeCell ref="J3:L3"/>
    <mergeCell ref="F3:H3"/>
    <mergeCell ref="I2:I3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I5" sqref="I5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85" t="s">
        <v>41</v>
      </c>
      <c r="C2" s="85"/>
    </row>
    <row r="3" spans="1:22">
      <c r="I3" s="86" t="s">
        <v>38</v>
      </c>
      <c r="J3" s="87"/>
      <c r="K3" s="87"/>
      <c r="L3" s="88" t="s">
        <v>33</v>
      </c>
      <c r="M3" s="87" t="s">
        <v>39</v>
      </c>
      <c r="N3" s="87"/>
      <c r="O3" s="90"/>
    </row>
    <row r="4" spans="1:22" ht="15.75" thickBot="1">
      <c r="I4" s="91" t="s">
        <v>87</v>
      </c>
      <c r="J4" s="92"/>
      <c r="K4" s="92"/>
      <c r="L4" s="89"/>
      <c r="M4" s="92" t="s">
        <v>88</v>
      </c>
      <c r="N4" s="92"/>
      <c r="O4" s="93"/>
    </row>
    <row r="5" spans="1:22" ht="15.75" thickBot="1">
      <c r="J5" s="82" t="s">
        <v>86</v>
      </c>
      <c r="K5" s="83"/>
      <c r="L5" s="83"/>
      <c r="M5" s="83"/>
      <c r="N5" s="84"/>
    </row>
    <row r="6" spans="1:22">
      <c r="A6" s="94" t="s">
        <v>31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</row>
    <row r="7" spans="1:22" ht="15.75" thickBo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</row>
    <row r="8" spans="1:22" ht="15.75" thickTop="1"/>
    <row r="9" spans="1:22" ht="15.75" thickBot="1">
      <c r="P9" s="96" t="s">
        <v>23</v>
      </c>
      <c r="Q9" s="96"/>
    </row>
    <row r="10" spans="1:22" ht="15.75" thickBot="1">
      <c r="C10" s="101" t="s">
        <v>10</v>
      </c>
      <c r="D10" s="102"/>
      <c r="H10" s="103" t="s">
        <v>14</v>
      </c>
      <c r="I10" s="104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5.8816583737871984E-2</v>
      </c>
      <c r="M11" s="56">
        <f>((J32^0)*(2.71828^(-J32)))/FACT(0)</f>
        <v>0.44932920591116582</v>
      </c>
      <c r="P11" s="37">
        <v>10</v>
      </c>
      <c r="Q11" s="38"/>
    </row>
    <row r="12" spans="1:22">
      <c r="C12" s="43">
        <v>3</v>
      </c>
      <c r="D12" s="44">
        <v>1</v>
      </c>
      <c r="H12" s="43">
        <v>3</v>
      </c>
      <c r="I12" s="44">
        <v>0</v>
      </c>
      <c r="K12" s="27" t="s">
        <v>17</v>
      </c>
      <c r="L12" s="55">
        <f>((E32^1)*(2.71828^(-E32)))/FACT(1)</f>
        <v>0.16664698725730395</v>
      </c>
      <c r="M12" s="56">
        <f>((J32^1)*(2.71828^(-J32)))/FACT(1)</f>
        <v>0.3594633647289327</v>
      </c>
      <c r="P12" s="39">
        <v>7</v>
      </c>
      <c r="Q12" s="40"/>
    </row>
    <row r="13" spans="1:22">
      <c r="C13" s="45">
        <v>1</v>
      </c>
      <c r="D13" s="40">
        <v>1</v>
      </c>
      <c r="H13" s="45">
        <v>1</v>
      </c>
      <c r="I13" s="40">
        <v>0</v>
      </c>
      <c r="K13" s="27" t="s">
        <v>18</v>
      </c>
      <c r="L13" s="55">
        <f>((E32^2)*(2.71828^(-E32)))/FACT(2)</f>
        <v>0.23608323194784731</v>
      </c>
      <c r="M13" s="56">
        <f>((J32^2)*(2.71828^(-J32)))/FACT(2)</f>
        <v>0.1437853458915731</v>
      </c>
      <c r="P13" s="39">
        <v>10</v>
      </c>
      <c r="Q13" s="40"/>
    </row>
    <row r="14" spans="1:22">
      <c r="C14" s="45">
        <v>3</v>
      </c>
      <c r="D14" s="40">
        <v>0</v>
      </c>
      <c r="H14" s="45">
        <v>2</v>
      </c>
      <c r="I14" s="40">
        <v>3</v>
      </c>
      <c r="K14" s="27" t="s">
        <v>19</v>
      </c>
      <c r="L14" s="55">
        <f>((E32^3)*(2.71828^(-E32)))/FACT(3)</f>
        <v>0.22296749683963357</v>
      </c>
      <c r="M14" s="56">
        <f>((J32^3)*(2.71828^(-J32)))/FACT(3)</f>
        <v>3.8342758904419495E-2</v>
      </c>
      <c r="P14" s="39">
        <v>4</v>
      </c>
      <c r="Q14" s="40"/>
    </row>
    <row r="15" spans="1:22">
      <c r="C15" s="45">
        <v>5</v>
      </c>
      <c r="D15" s="40">
        <v>0</v>
      </c>
      <c r="H15" s="45">
        <v>4</v>
      </c>
      <c r="I15" s="40">
        <v>0</v>
      </c>
      <c r="K15" s="27" t="s">
        <v>21</v>
      </c>
      <c r="L15" s="55">
        <f>((E32^4)*(2.71828^(-E32)))/FACT(4)</f>
        <v>0.15793531026140709</v>
      </c>
      <c r="M15" s="56">
        <f>((J32^4)*(2.71828^(-J32)))/FACT(4)</f>
        <v>7.668551780883901E-3</v>
      </c>
      <c r="P15" s="39">
        <v>6</v>
      </c>
      <c r="Q15" s="40"/>
    </row>
    <row r="16" spans="1:22">
      <c r="C16" s="45">
        <v>4</v>
      </c>
      <c r="D16" s="40">
        <v>3</v>
      </c>
      <c r="H16" s="45">
        <v>1</v>
      </c>
      <c r="I16" s="40">
        <v>1</v>
      </c>
      <c r="K16" s="27" t="s">
        <v>20</v>
      </c>
      <c r="L16" s="55">
        <f>((E32^5)*(2.71828^(-E32)))/FACT(5)</f>
        <v>8.949667581479738E-2</v>
      </c>
      <c r="M16" s="56">
        <f>((J32^5)*(2.71828^(-J32)))/FACT(5)</f>
        <v>1.2269682849414241E-3</v>
      </c>
      <c r="P16" s="39">
        <v>6</v>
      </c>
      <c r="Q16" s="40"/>
    </row>
    <row r="17" spans="2:17" ht="15.75" thickBot="1">
      <c r="C17" s="45">
        <v>1</v>
      </c>
      <c r="D17" s="40">
        <v>1</v>
      </c>
      <c r="H17" s="45"/>
      <c r="I17" s="40"/>
      <c r="K17" s="28" t="s">
        <v>22</v>
      </c>
      <c r="L17" s="53">
        <f>((E32^6)*(2.71828^(-E32)))/FACT(6)</f>
        <v>4.2262319134765421E-2</v>
      </c>
      <c r="M17" s="54">
        <f>((J32^6)*(2.71828^(-J32)))/FACT(6)</f>
        <v>1.6359577132552322E-4</v>
      </c>
      <c r="P17" s="39">
        <v>6</v>
      </c>
      <c r="Q17" s="40"/>
    </row>
    <row r="18" spans="2:17">
      <c r="C18" s="45"/>
      <c r="D18" s="40"/>
      <c r="H18" s="45"/>
      <c r="I18" s="40"/>
      <c r="P18" s="39">
        <v>6</v>
      </c>
      <c r="Q18" s="40"/>
    </row>
    <row r="19" spans="2:17">
      <c r="C19" s="45"/>
      <c r="D19" s="40"/>
      <c r="H19" s="45"/>
      <c r="I19" s="40"/>
      <c r="P19" s="39">
        <v>5</v>
      </c>
      <c r="Q19" s="40"/>
    </row>
    <row r="20" spans="2:17">
      <c r="C20" s="45"/>
      <c r="D20" s="40"/>
      <c r="H20" s="45"/>
      <c r="I20" s="40"/>
      <c r="P20" s="39">
        <v>5</v>
      </c>
      <c r="Q20" s="40"/>
    </row>
    <row r="21" spans="2:17">
      <c r="C21" s="45"/>
      <c r="D21" s="40"/>
      <c r="H21" s="45"/>
      <c r="I21" s="40"/>
      <c r="P21" s="39">
        <v>4</v>
      </c>
      <c r="Q21" s="40"/>
    </row>
    <row r="22" spans="2:17">
      <c r="C22" s="45"/>
      <c r="D22" s="40"/>
      <c r="H22" s="45"/>
      <c r="I22" s="40"/>
      <c r="P22" s="39">
        <v>3</v>
      </c>
      <c r="Q22" s="40"/>
    </row>
    <row r="23" spans="2:17">
      <c r="C23" s="45"/>
      <c r="D23" s="40"/>
      <c r="H23" s="45"/>
      <c r="I23" s="40"/>
      <c r="P23" s="39"/>
      <c r="Q23" s="40"/>
    </row>
    <row r="24" spans="2:17">
      <c r="C24" s="45"/>
      <c r="D24" s="40"/>
      <c r="H24" s="45"/>
      <c r="I24" s="40"/>
      <c r="P24" s="39"/>
      <c r="Q24" s="40"/>
    </row>
    <row r="25" spans="2:17">
      <c r="C25" s="45"/>
      <c r="D25" s="40"/>
      <c r="H25" s="45"/>
      <c r="I25" s="40"/>
      <c r="P25" s="39"/>
      <c r="Q25" s="40"/>
    </row>
    <row r="26" spans="2:17">
      <c r="C26" s="45"/>
      <c r="D26" s="40"/>
      <c r="H26" s="45"/>
      <c r="I26" s="40"/>
      <c r="P26" s="39"/>
      <c r="Q26" s="40"/>
    </row>
    <row r="27" spans="2:17" ht="15.75" thickBot="1">
      <c r="C27" s="47"/>
      <c r="D27" s="48"/>
      <c r="H27" s="46"/>
      <c r="I27" s="42"/>
      <c r="P27" s="39"/>
      <c r="Q27" s="40"/>
    </row>
    <row r="28" spans="2:17" ht="15.75" thickBot="1">
      <c r="B28" s="14" t="s">
        <v>13</v>
      </c>
      <c r="C28" s="8">
        <f>SUM(C12:C27)</f>
        <v>17</v>
      </c>
      <c r="D28" s="9">
        <f>SUM(D12:D27)</f>
        <v>6</v>
      </c>
      <c r="G28" s="30" t="s">
        <v>13</v>
      </c>
      <c r="H28" s="31">
        <f>SUM(H12:H27)</f>
        <v>11</v>
      </c>
      <c r="I28" s="32">
        <f>SUM(I12:I27)</f>
        <v>4</v>
      </c>
      <c r="P28" s="39"/>
      <c r="Q28" s="40"/>
    </row>
    <row r="29" spans="2:17" ht="15.75" thickBot="1">
      <c r="B29" s="14" t="s">
        <v>15</v>
      </c>
      <c r="C29" s="10">
        <f>COUNT(C12:C27)</f>
        <v>6</v>
      </c>
      <c r="G29" s="14" t="s">
        <v>15</v>
      </c>
      <c r="H29" s="29">
        <f>COUNT(H12:H27)</f>
        <v>5</v>
      </c>
      <c r="P29" s="39"/>
      <c r="Q29" s="40"/>
    </row>
    <row r="30" spans="2:17">
      <c r="P30" s="39"/>
      <c r="Q30" s="40"/>
    </row>
    <row r="31" spans="2:17">
      <c r="B31" s="96" t="s">
        <v>5</v>
      </c>
      <c r="C31" s="96"/>
      <c r="D31" s="96"/>
      <c r="E31" s="96"/>
      <c r="G31" s="96" t="s">
        <v>6</v>
      </c>
      <c r="H31" s="96"/>
      <c r="I31" s="96"/>
      <c r="J31" s="96"/>
      <c r="P31" s="39"/>
      <c r="Q31" s="40"/>
    </row>
    <row r="32" spans="2:17">
      <c r="B32" s="77" t="s">
        <v>2</v>
      </c>
      <c r="C32" s="78"/>
      <c r="D32" s="11" t="s">
        <v>4</v>
      </c>
      <c r="E32" s="3">
        <f>C28/C29</f>
        <v>2.8333333333333335</v>
      </c>
      <c r="G32" s="77" t="s">
        <v>2</v>
      </c>
      <c r="H32" s="78"/>
      <c r="I32" s="11" t="s">
        <v>4</v>
      </c>
      <c r="J32" s="3">
        <f>I28/H29</f>
        <v>0.8</v>
      </c>
      <c r="P32" s="39"/>
      <c r="Q32" s="40"/>
    </row>
    <row r="33" spans="1:22" ht="15.75" thickBot="1">
      <c r="B33" s="79" t="s">
        <v>3</v>
      </c>
      <c r="C33" s="80"/>
      <c r="D33" s="12" t="s">
        <v>4</v>
      </c>
      <c r="E33" s="2">
        <f>D28/C29</f>
        <v>1</v>
      </c>
      <c r="G33" s="79" t="s">
        <v>3</v>
      </c>
      <c r="H33" s="80"/>
      <c r="I33" s="12" t="s">
        <v>4</v>
      </c>
      <c r="J33" s="2">
        <f>H28/H29</f>
        <v>2.2000000000000002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72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10.685714285714287</v>
      </c>
      <c r="D36" s="24">
        <f>J32*E33*P38</f>
        <v>1.3714285714285714</v>
      </c>
      <c r="O36" s="14" t="s">
        <v>27</v>
      </c>
      <c r="P36" s="97">
        <v>7</v>
      </c>
      <c r="Q36" s="98"/>
    </row>
    <row r="37" spans="1:22" ht="15.75" thickBot="1">
      <c r="O37" s="14" t="s">
        <v>28</v>
      </c>
      <c r="P37" s="99">
        <f>COUNT(P11:P34)</f>
        <v>12</v>
      </c>
      <c r="Q37" s="100"/>
    </row>
    <row r="38" spans="1:22" ht="15.75" thickBot="1">
      <c r="O38" s="14" t="s">
        <v>42</v>
      </c>
      <c r="P38" s="22">
        <f>P35/(P36*(P37/2))</f>
        <v>1.7142857142857142</v>
      </c>
      <c r="Q38" s="21">
        <f>Q35/(P36*P37)</f>
        <v>0</v>
      </c>
    </row>
    <row r="40" spans="1:22">
      <c r="A40" s="94" t="s">
        <v>32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</row>
    <row r="41" spans="1:22" ht="15.75" thickBo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  <mergeCell ref="J5:N5"/>
    <mergeCell ref="B2:C2"/>
    <mergeCell ref="I3:K3"/>
    <mergeCell ref="L3:L4"/>
    <mergeCell ref="M3:O3"/>
    <mergeCell ref="I4:K4"/>
    <mergeCell ref="M4:O4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108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106" t="s">
        <v>44</v>
      </c>
      <c r="C3" s="106">
        <v>7</v>
      </c>
      <c r="D3" s="106">
        <v>4</v>
      </c>
      <c r="E3" s="106">
        <v>2</v>
      </c>
      <c r="F3" s="106">
        <v>1</v>
      </c>
      <c r="G3" s="105">
        <v>0.54583333333333328</v>
      </c>
      <c r="H3" s="106">
        <v>14</v>
      </c>
      <c r="I3" s="106" t="s">
        <v>46</v>
      </c>
      <c r="K3" s="35"/>
      <c r="M3" s="35"/>
      <c r="O3" s="35"/>
      <c r="P3" s="35"/>
      <c r="Q3" s="35"/>
    </row>
    <row r="4" spans="1:17">
      <c r="A4" s="35"/>
      <c r="B4" s="106" t="s">
        <v>47</v>
      </c>
      <c r="C4" s="106" t="s">
        <v>48</v>
      </c>
      <c r="D4" s="106">
        <v>8</v>
      </c>
      <c r="E4" s="106">
        <v>4</v>
      </c>
      <c r="F4" s="106">
        <v>4</v>
      </c>
      <c r="G4" s="106">
        <v>0</v>
      </c>
      <c r="H4" s="105">
        <v>0.54722222222222217</v>
      </c>
      <c r="I4" s="105">
        <v>16</v>
      </c>
      <c r="J4" s="105" t="str">
        <f>LEFT(H4,2)</f>
        <v>0,</v>
      </c>
      <c r="K4" s="35"/>
      <c r="M4" s="35"/>
      <c r="O4" s="35"/>
      <c r="P4" s="35"/>
      <c r="Q4" s="35"/>
    </row>
    <row r="5" spans="1:17">
      <c r="A5" s="35"/>
      <c r="B5" s="106" t="s">
        <v>49</v>
      </c>
      <c r="C5" s="106" t="s">
        <v>50</v>
      </c>
      <c r="D5" s="106">
        <v>8</v>
      </c>
      <c r="E5" s="106">
        <v>3</v>
      </c>
      <c r="F5" s="106">
        <v>4</v>
      </c>
      <c r="G5" s="106">
        <v>1</v>
      </c>
      <c r="H5" s="105">
        <v>0.3354166666666667</v>
      </c>
      <c r="I5" s="106">
        <v>13</v>
      </c>
      <c r="J5" s="109" t="s">
        <v>46</v>
      </c>
      <c r="K5" s="107"/>
      <c r="L5" s="107"/>
      <c r="M5" s="107"/>
      <c r="N5" s="107"/>
      <c r="O5" s="35"/>
      <c r="P5" s="35"/>
      <c r="Q5" s="35"/>
    </row>
    <row r="6" spans="1:17">
      <c r="A6" s="35"/>
      <c r="B6" s="106" t="s">
        <v>51</v>
      </c>
      <c r="C6" s="106" t="s">
        <v>52</v>
      </c>
      <c r="D6" s="106">
        <v>8</v>
      </c>
      <c r="E6" s="106">
        <v>4</v>
      </c>
      <c r="F6" s="106">
        <v>2</v>
      </c>
      <c r="G6" s="106">
        <v>2</v>
      </c>
      <c r="H6" s="105">
        <v>0.46319444444444446</v>
      </c>
      <c r="I6" s="106">
        <v>14</v>
      </c>
      <c r="J6" s="109" t="s">
        <v>46</v>
      </c>
      <c r="K6" s="107"/>
      <c r="L6" s="107"/>
      <c r="M6" s="107"/>
      <c r="N6" s="107"/>
      <c r="O6" s="35"/>
      <c r="P6" s="35"/>
      <c r="Q6" s="35"/>
    </row>
    <row r="7" spans="1:17" ht="30">
      <c r="A7" s="35"/>
      <c r="B7" s="106" t="s">
        <v>53</v>
      </c>
      <c r="C7" s="106" t="s">
        <v>54</v>
      </c>
      <c r="D7" s="106">
        <v>8</v>
      </c>
      <c r="E7" s="106">
        <v>4</v>
      </c>
      <c r="F7" s="106">
        <v>2</v>
      </c>
      <c r="G7" s="106">
        <v>2</v>
      </c>
      <c r="H7" s="105">
        <v>0.42083333333333334</v>
      </c>
      <c r="I7" s="106">
        <v>14</v>
      </c>
      <c r="J7" s="109" t="s">
        <v>46</v>
      </c>
      <c r="K7" s="107"/>
      <c r="L7" s="107"/>
      <c r="M7" s="107"/>
      <c r="N7" s="107"/>
      <c r="O7" s="35"/>
      <c r="P7" s="35"/>
      <c r="Q7" s="35"/>
    </row>
    <row r="8" spans="1:17">
      <c r="A8" s="35"/>
      <c r="B8" s="106" t="s">
        <v>55</v>
      </c>
      <c r="C8" s="106" t="s">
        <v>56</v>
      </c>
      <c r="D8" s="106">
        <v>7</v>
      </c>
      <c r="E8" s="106">
        <v>3</v>
      </c>
      <c r="F8" s="106">
        <v>2</v>
      </c>
      <c r="G8" s="106">
        <v>2</v>
      </c>
      <c r="H8" s="105">
        <v>0.42083333333333334</v>
      </c>
      <c r="I8" s="106">
        <v>11</v>
      </c>
      <c r="J8" s="109" t="s">
        <v>46</v>
      </c>
      <c r="K8" s="107"/>
      <c r="L8" s="107"/>
      <c r="M8" s="107"/>
      <c r="N8" s="107"/>
      <c r="O8" s="35"/>
      <c r="P8" s="35"/>
      <c r="Q8" s="35"/>
    </row>
    <row r="9" spans="1:17">
      <c r="A9" s="35"/>
      <c r="B9" s="106" t="s">
        <v>57</v>
      </c>
      <c r="C9" s="106" t="s">
        <v>58</v>
      </c>
      <c r="D9" s="106">
        <v>8</v>
      </c>
      <c r="E9" s="106">
        <v>3</v>
      </c>
      <c r="F9" s="106">
        <v>2</v>
      </c>
      <c r="G9" s="106">
        <v>3</v>
      </c>
      <c r="H9" s="105">
        <v>0.42152777777777778</v>
      </c>
      <c r="I9" s="106">
        <v>11</v>
      </c>
      <c r="J9" s="109" t="s">
        <v>46</v>
      </c>
      <c r="K9" s="107"/>
      <c r="L9" s="107"/>
      <c r="M9" s="107"/>
      <c r="N9" s="107"/>
      <c r="O9" s="35"/>
      <c r="P9" s="35"/>
      <c r="Q9" s="35"/>
    </row>
    <row r="10" spans="1:17">
      <c r="A10" s="35"/>
      <c r="B10" s="106" t="s">
        <v>59</v>
      </c>
      <c r="C10" s="106" t="s">
        <v>60</v>
      </c>
      <c r="D10" s="106">
        <v>8</v>
      </c>
      <c r="E10" s="106">
        <v>4</v>
      </c>
      <c r="F10" s="106">
        <v>1</v>
      </c>
      <c r="G10" s="106">
        <v>3</v>
      </c>
      <c r="H10" s="105">
        <v>0.21041666666666667</v>
      </c>
      <c r="I10" s="106">
        <v>13</v>
      </c>
      <c r="J10" s="109" t="s">
        <v>46</v>
      </c>
      <c r="K10" s="107"/>
      <c r="L10" s="107"/>
      <c r="M10" s="107"/>
      <c r="N10" s="107"/>
      <c r="O10" s="35"/>
      <c r="P10" s="35"/>
      <c r="Q10" s="35"/>
    </row>
    <row r="11" spans="1:17" ht="30">
      <c r="A11" s="35"/>
      <c r="B11" s="106" t="s">
        <v>61</v>
      </c>
      <c r="C11" s="106" t="s">
        <v>62</v>
      </c>
      <c r="D11" s="106">
        <v>8</v>
      </c>
      <c r="E11" s="106">
        <v>4</v>
      </c>
      <c r="F11" s="106">
        <v>1</v>
      </c>
      <c r="G11" s="106">
        <v>3</v>
      </c>
      <c r="H11" s="105">
        <v>0.46527777777777773</v>
      </c>
      <c r="I11" s="106">
        <v>13</v>
      </c>
      <c r="J11" s="109" t="s">
        <v>46</v>
      </c>
      <c r="K11" s="107"/>
      <c r="L11" s="107"/>
      <c r="M11" s="107"/>
      <c r="N11" s="107"/>
      <c r="O11" s="35"/>
      <c r="P11" s="35"/>
      <c r="Q11" s="35"/>
    </row>
    <row r="12" spans="1:17">
      <c r="A12" s="35"/>
      <c r="B12" s="106" t="s">
        <v>63</v>
      </c>
      <c r="C12" s="106" t="s">
        <v>64</v>
      </c>
      <c r="D12" s="106">
        <v>7</v>
      </c>
      <c r="E12" s="106">
        <v>3</v>
      </c>
      <c r="F12" s="106">
        <v>2</v>
      </c>
      <c r="G12" s="106">
        <v>2</v>
      </c>
      <c r="H12" s="105">
        <v>0.46527777777777773</v>
      </c>
      <c r="I12" s="106">
        <v>11</v>
      </c>
      <c r="J12" s="109" t="s">
        <v>46</v>
      </c>
      <c r="K12" s="107"/>
      <c r="L12" s="107"/>
      <c r="M12" s="107"/>
      <c r="N12" s="107"/>
      <c r="O12" s="35"/>
      <c r="P12" s="35"/>
      <c r="Q12" s="35"/>
    </row>
    <row r="13" spans="1:17" ht="30">
      <c r="A13" s="35"/>
      <c r="B13" s="106" t="s">
        <v>65</v>
      </c>
      <c r="C13" s="106" t="s">
        <v>66</v>
      </c>
      <c r="D13" s="106">
        <v>8</v>
      </c>
      <c r="E13" s="106">
        <v>4</v>
      </c>
      <c r="F13" s="106">
        <v>2</v>
      </c>
      <c r="G13" s="106">
        <v>2</v>
      </c>
      <c r="H13" s="105">
        <v>0.5083333333333333</v>
      </c>
      <c r="I13" s="106">
        <v>14</v>
      </c>
      <c r="J13" s="109" t="s">
        <v>46</v>
      </c>
      <c r="K13" s="107"/>
      <c r="L13" s="107"/>
      <c r="M13" s="107"/>
      <c r="N13" s="107"/>
      <c r="O13" s="35"/>
      <c r="P13" s="35"/>
      <c r="Q13" s="35"/>
    </row>
    <row r="14" spans="1:17">
      <c r="A14" s="35"/>
      <c r="B14" s="106" t="s">
        <v>67</v>
      </c>
      <c r="C14" s="106" t="s">
        <v>68</v>
      </c>
      <c r="D14" s="106">
        <v>8</v>
      </c>
      <c r="E14" s="106">
        <v>2</v>
      </c>
      <c r="F14" s="106">
        <v>3</v>
      </c>
      <c r="G14" s="106">
        <v>3</v>
      </c>
      <c r="H14" s="105">
        <v>0.38194444444444442</v>
      </c>
      <c r="I14" s="106">
        <v>9</v>
      </c>
      <c r="J14" s="109" t="s">
        <v>46</v>
      </c>
      <c r="K14" s="107"/>
      <c r="L14" s="107"/>
      <c r="M14" s="107"/>
      <c r="N14" s="107"/>
      <c r="O14" s="35"/>
      <c r="P14" s="35"/>
      <c r="Q14" s="35"/>
    </row>
    <row r="15" spans="1:17">
      <c r="A15" s="35"/>
      <c r="B15" s="106" t="s">
        <v>69</v>
      </c>
      <c r="C15" s="106" t="s">
        <v>70</v>
      </c>
      <c r="D15" s="106">
        <v>7</v>
      </c>
      <c r="E15" s="106">
        <v>1</v>
      </c>
      <c r="F15" s="106">
        <v>3</v>
      </c>
      <c r="G15" s="106">
        <v>3</v>
      </c>
      <c r="H15" s="105">
        <v>0.29722222222222222</v>
      </c>
      <c r="I15" s="106">
        <v>6</v>
      </c>
      <c r="J15" s="109" t="s">
        <v>46</v>
      </c>
      <c r="K15" s="107"/>
      <c r="L15" s="107"/>
      <c r="M15" s="107"/>
      <c r="N15" s="107"/>
      <c r="O15" s="35"/>
      <c r="P15" s="35"/>
      <c r="Q15" s="35"/>
    </row>
    <row r="16" spans="1:17" ht="30">
      <c r="A16" s="35"/>
      <c r="B16" s="106" t="s">
        <v>71</v>
      </c>
      <c r="C16" s="106" t="s">
        <v>72</v>
      </c>
      <c r="D16" s="106">
        <v>7</v>
      </c>
      <c r="E16" s="106">
        <v>3</v>
      </c>
      <c r="F16" s="106">
        <v>1</v>
      </c>
      <c r="G16" s="106">
        <v>3</v>
      </c>
      <c r="H16" s="105">
        <v>0.42499999999999999</v>
      </c>
      <c r="I16" s="106">
        <v>10</v>
      </c>
      <c r="J16" s="109" t="s">
        <v>46</v>
      </c>
      <c r="K16" s="107"/>
      <c r="L16" s="107"/>
      <c r="M16" s="107"/>
      <c r="N16" s="107"/>
      <c r="O16" s="35"/>
      <c r="P16" s="35"/>
      <c r="Q16" s="35"/>
    </row>
    <row r="17" spans="1:17">
      <c r="A17" s="35"/>
      <c r="B17" s="106" t="s">
        <v>73</v>
      </c>
      <c r="C17" s="106" t="s">
        <v>74</v>
      </c>
      <c r="D17" s="106">
        <v>8</v>
      </c>
      <c r="E17" s="106">
        <v>2</v>
      </c>
      <c r="F17" s="106">
        <v>2</v>
      </c>
      <c r="G17" s="106">
        <v>4</v>
      </c>
      <c r="H17" s="105">
        <v>0.55208333333333337</v>
      </c>
      <c r="I17" s="106">
        <v>8</v>
      </c>
      <c r="J17" s="109" t="s">
        <v>46</v>
      </c>
      <c r="K17" s="107"/>
      <c r="L17" s="107"/>
      <c r="M17" s="107"/>
      <c r="N17" s="107"/>
      <c r="O17" s="35"/>
      <c r="P17" s="35"/>
      <c r="Q17" s="35"/>
    </row>
    <row r="18" spans="1:17">
      <c r="A18" s="35"/>
      <c r="B18" s="106" t="s">
        <v>75</v>
      </c>
      <c r="C18" s="106" t="s">
        <v>45</v>
      </c>
      <c r="D18" s="106">
        <v>7</v>
      </c>
      <c r="E18" s="106">
        <v>2</v>
      </c>
      <c r="F18" s="106">
        <v>2</v>
      </c>
      <c r="G18" s="106">
        <v>3</v>
      </c>
      <c r="H18" s="105">
        <v>0.25625000000000003</v>
      </c>
      <c r="I18" s="106">
        <v>8</v>
      </c>
      <c r="J18" s="109" t="s">
        <v>46</v>
      </c>
      <c r="K18" s="107"/>
      <c r="L18" s="107"/>
      <c r="M18" s="107"/>
      <c r="N18" s="107"/>
      <c r="O18" s="35"/>
      <c r="P18" s="35"/>
      <c r="Q18" s="35"/>
    </row>
    <row r="19" spans="1:17">
      <c r="A19" s="35"/>
      <c r="B19" s="106" t="s">
        <v>76</v>
      </c>
      <c r="C19" s="106" t="s">
        <v>77</v>
      </c>
      <c r="D19" s="106">
        <v>6</v>
      </c>
      <c r="E19" s="106">
        <v>2</v>
      </c>
      <c r="F19" s="106">
        <v>0</v>
      </c>
      <c r="G19" s="106">
        <v>4</v>
      </c>
      <c r="H19" s="105">
        <v>0.25625000000000003</v>
      </c>
      <c r="I19" s="106">
        <v>6</v>
      </c>
      <c r="J19" s="109" t="s">
        <v>46</v>
      </c>
      <c r="K19" s="107"/>
      <c r="L19" s="107"/>
      <c r="M19" s="107"/>
      <c r="N19" s="107"/>
      <c r="O19" s="35"/>
      <c r="P19" s="35"/>
      <c r="Q19" s="35"/>
    </row>
    <row r="20" spans="1:17" ht="30">
      <c r="A20" s="35"/>
      <c r="B20" s="106" t="s">
        <v>78</v>
      </c>
      <c r="C20" s="106" t="s">
        <v>79</v>
      </c>
      <c r="D20" s="106">
        <v>8</v>
      </c>
      <c r="E20" s="106">
        <v>2</v>
      </c>
      <c r="F20" s="106">
        <v>3</v>
      </c>
      <c r="G20" s="106">
        <v>3</v>
      </c>
      <c r="H20" s="105">
        <v>0.38541666666666669</v>
      </c>
      <c r="I20" s="106">
        <v>9</v>
      </c>
      <c r="J20" s="109" t="s">
        <v>46</v>
      </c>
      <c r="K20" s="107"/>
      <c r="L20" s="107"/>
      <c r="M20" s="107"/>
      <c r="N20" s="107"/>
      <c r="O20" s="35"/>
      <c r="P20" s="35"/>
      <c r="Q20" s="35"/>
    </row>
    <row r="21" spans="1:17">
      <c r="A21" s="35"/>
      <c r="B21" s="106" t="s">
        <v>80</v>
      </c>
      <c r="C21" s="106" t="s">
        <v>81</v>
      </c>
      <c r="D21" s="106">
        <v>8</v>
      </c>
      <c r="E21" s="106">
        <v>0</v>
      </c>
      <c r="F21" s="106">
        <v>3</v>
      </c>
      <c r="G21" s="106">
        <v>5</v>
      </c>
      <c r="H21" s="105">
        <v>0.17569444444444446</v>
      </c>
      <c r="I21" s="106">
        <v>3</v>
      </c>
      <c r="J21" s="109" t="s">
        <v>46</v>
      </c>
      <c r="K21" s="107"/>
      <c r="L21" s="107"/>
      <c r="M21" s="107"/>
      <c r="N21" s="107"/>
      <c r="O21" s="35"/>
      <c r="P21" s="35"/>
      <c r="Q21" s="35"/>
    </row>
    <row r="22" spans="1:17">
      <c r="A22" s="35"/>
      <c r="B22" s="106" t="s">
        <v>82</v>
      </c>
      <c r="C22" s="106" t="s">
        <v>83</v>
      </c>
      <c r="D22" s="106">
        <v>8</v>
      </c>
      <c r="E22" s="106">
        <v>0</v>
      </c>
      <c r="F22" s="106">
        <v>3</v>
      </c>
      <c r="G22" s="106">
        <v>5</v>
      </c>
      <c r="H22" s="105">
        <v>0.13333333333333333</v>
      </c>
      <c r="I22" s="106">
        <v>3</v>
      </c>
      <c r="J22" s="109" t="s">
        <v>46</v>
      </c>
      <c r="K22" s="107"/>
      <c r="L22" s="107"/>
      <c r="M22" s="107"/>
      <c r="N22" s="107"/>
      <c r="O22" s="35"/>
      <c r="P22" s="35"/>
      <c r="Q22" s="35"/>
    </row>
    <row r="23" spans="1:17">
      <c r="A23" s="35"/>
      <c r="B23" s="35"/>
      <c r="C23" s="35"/>
      <c r="D23" s="35"/>
      <c r="E23" s="35"/>
      <c r="F23" s="107"/>
      <c r="G23" s="107"/>
      <c r="H23" s="107"/>
      <c r="I23" s="107"/>
      <c r="J23" s="109"/>
      <c r="K23" s="107"/>
      <c r="L23" s="107"/>
      <c r="M23" s="107"/>
      <c r="N23" s="107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2018-05-31T18:59:40Z</dcterms:modified>
</cp:coreProperties>
</file>